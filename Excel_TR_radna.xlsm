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labrk\Documents\"/>
    </mc:Choice>
  </mc:AlternateContent>
  <xr:revisionPtr revIDLastSave="0" documentId="13_ncr:1_{6813D8F5-A9AA-42B1-85CD-BED535F6E91B}" xr6:coauthVersionLast="47" xr6:coauthVersionMax="47" xr10:uidLastSave="{00000000-0000-0000-0000-000000000000}"/>
  <bookViews>
    <workbookView xWindow="-120" yWindow="-120" windowWidth="29040" windowHeight="15840" tabRatio="632" activeTab="10" xr2:uid="{32EF1BF7-358E-42BD-8AA1-D91BD1678039}"/>
  </bookViews>
  <sheets>
    <sheet name="POPISI" sheetId="9" r:id="rId1"/>
    <sheet name="UR_ID_POPIS" sheetId="4" r:id="rId2"/>
    <sheet name="Vendor1" sheetId="5" r:id="rId3"/>
    <sheet name="Vendor2" sheetId="6" r:id="rId4"/>
    <sheet name="Vendor3" sheetId="7" r:id="rId5"/>
    <sheet name="Vendor4" sheetId="10" r:id="rId6"/>
    <sheet name="MPLS" sheetId="8" r:id="rId7"/>
    <sheet name="WWMS" sheetId="14" r:id="rId8"/>
    <sheet name="MP_REPORT" sheetId="13" r:id="rId9"/>
    <sheet name="AT" sheetId="16" r:id="rId10"/>
    <sheet name="RADNA" sheetId="1" r:id="rId11"/>
  </sheets>
  <functionGroups builtInGroupCount="19"/>
  <externalReferences>
    <externalReference r:id="rId12"/>
  </externalReferences>
  <definedNames>
    <definedName name="_xlnm._FilterDatabase" localSheetId="6" hidden="1">MPLS!$A$5:$J$9</definedName>
    <definedName name="_xlnm._FilterDatabase" localSheetId="2" hidden="1">Vendor1!#REF!</definedName>
    <definedName name="_xlnm._FilterDatabase" localSheetId="3" hidden="1">Vendor2!#REF!</definedName>
    <definedName name="_xlnm._FilterDatabase" localSheetId="4" hidden="1">Vendor3!#REF!</definedName>
    <definedName name="_xlnm.Criteria" localSheetId="6">MPLS!$A$1:$E$2</definedName>
    <definedName name="FO_TR_izradio" localSheetId="5">[1]POPISI!$F$2:$F$12</definedName>
    <definedName name="FO_TR_izradio">POPISI!$F$2:$F$12</definedName>
    <definedName name="korisnik_vendor">POPISI!$D$10:$D$12</definedName>
    <definedName name="mpls" localSheetId="5">[1]MPLS!$J$6:$J$503</definedName>
    <definedName name="mpls">MPLS!$J$6:$J$9</definedName>
    <definedName name="SFP_10GE" localSheetId="5">[1]POPISI!$D$6:$D$9</definedName>
    <definedName name="SFP_10GE">POPISI!$D$5:$D$7</definedName>
    <definedName name="SFP_ZX" localSheetId="5">[1]POPISI!$D$2:$D$3</definedName>
    <definedName name="sla" localSheetId="5">[1]POPISI!$D$14:$D$15</definedName>
    <definedName name="TR_BP_ATN">POPISI!$D$19:$D$24</definedName>
    <definedName name="usluga" localSheetId="5">[1]POPISI!$C$2:$C$30</definedName>
    <definedName name="usluga">POPISI!$C$2:$C$30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Mladen Brkic</author>
  </authors>
  <commentList>
    <comment ref="A8" authorId="0" shapeId="0" xr:uid="{57608889-2E05-42C0-A085-1E7483DF3C18}">
      <text>
        <r>
          <rPr>
            <b/>
            <sz val="9"/>
            <color indexed="81"/>
            <rFont val="Tahoma"/>
            <family val="2"/>
            <charset val="238"/>
          </rPr>
          <t>Mladen Brkic:</t>
        </r>
        <r>
          <rPr>
            <sz val="9"/>
            <color indexed="81"/>
            <rFont val="Tahoma"/>
            <family val="2"/>
            <charset val="238"/>
          </rPr>
          <t xml:space="preserve">
BS_RETKOVEC
LOK_10_CITY CENTAR ONE-ŽITNJAK</t>
        </r>
      </text>
    </comment>
    <comment ref="A9" authorId="0" shapeId="0" xr:uid="{5A78930C-6BAC-4D08-B34D-A10BD0A82353}">
      <text>
        <r>
          <rPr>
            <b/>
            <sz val="9"/>
            <color indexed="81"/>
            <rFont val="Tahoma"/>
            <charset val="1"/>
          </rPr>
          <t>Mladen Brkic:</t>
        </r>
        <r>
          <rPr>
            <sz val="9"/>
            <color indexed="81"/>
            <rFont val="Tahoma"/>
            <charset val="1"/>
          </rPr>
          <t xml:space="preserve">
Broj TD</t>
        </r>
      </text>
    </comment>
  </commentList>
</comments>
</file>

<file path=xl/sharedStrings.xml><?xml version="1.0" encoding="utf-8"?>
<sst xmlns="http://schemas.openxmlformats.org/spreadsheetml/2006/main" count="178" uniqueCount="118">
  <si>
    <t>POPIS</t>
  </si>
  <si>
    <t>Nadlokacija</t>
  </si>
  <si>
    <t>MPLS uredjaj</t>
  </si>
  <si>
    <t>Kategorija</t>
  </si>
  <si>
    <t>Model</t>
  </si>
  <si>
    <t>VENDOR</t>
  </si>
  <si>
    <t>UR_ID_KRATKI</t>
  </si>
  <si>
    <t>UREDJAJ_TR</t>
  </si>
  <si>
    <t>LOKACIJA_SORT</t>
  </si>
  <si>
    <t>SORT_UNUTAR_LOK</t>
  </si>
  <si>
    <t>TROŠK_AUTO_SORT</t>
  </si>
  <si>
    <t>LOK:</t>
  </si>
  <si>
    <t>Usluga:</t>
  </si>
  <si>
    <t>SFP_ZX ?</t>
  </si>
  <si>
    <t>FO_TR izradio ?</t>
  </si>
  <si>
    <t>Poštovani,</t>
  </si>
  <si>
    <t>ZX_SFP</t>
  </si>
  <si>
    <t>NV</t>
  </si>
  <si>
    <t>Net Voice</t>
  </si>
  <si>
    <t>SFP_10GE ?</t>
  </si>
  <si>
    <t>10GE LR (10 km)</t>
  </si>
  <si>
    <t>10GE ER (40 km)</t>
  </si>
  <si>
    <t>10GE ZR (80 km)</t>
  </si>
  <si>
    <t>Lijep pozdrav!</t>
  </si>
  <si>
    <t>SLA ?</t>
  </si>
  <si>
    <t>SLA</t>
  </si>
  <si>
    <t>UPE_vendor ?</t>
  </si>
  <si>
    <t>Red. broj</t>
  </si>
  <si>
    <t>Datum izrade</t>
  </si>
  <si>
    <t>Mini projekt</t>
  </si>
  <si>
    <t>WWMS kartica</t>
  </si>
  <si>
    <t>Naziv KORISNIKA</t>
  </si>
  <si>
    <t>Adresa instalacije</t>
  </si>
  <si>
    <t>Povezuje se na uređaj 
( vendor ):</t>
  </si>
  <si>
    <t>Autor TR</t>
  </si>
  <si>
    <t>Specijalna oprema</t>
  </si>
  <si>
    <t>Port</t>
  </si>
  <si>
    <t>Uređaj</t>
  </si>
  <si>
    <t>Napomena
SLA</t>
  </si>
  <si>
    <t>#Datum_TR_a</t>
  </si>
  <si>
    <t>#Usluga</t>
  </si>
  <si>
    <t>#Zabilješka_iz_DONAT_a</t>
  </si>
  <si>
    <t>#Broj_kartice</t>
  </si>
  <si>
    <t>#Korisnik_Naziv</t>
  </si>
  <si>
    <t>#Adresa_instalacije</t>
  </si>
  <si>
    <t>#TR_naslovnica_Korisnik_Naziv</t>
  </si>
  <si>
    <t>#Autor_TR_za_svk</t>
  </si>
  <si>
    <t>#Bandwidth_usluge</t>
  </si>
  <si>
    <t>#CSO</t>
  </si>
  <si>
    <t>Naziv UR_TR:</t>
  </si>
  <si>
    <t>Naziv foldera:</t>
  </si>
  <si>
    <t>Folder, mrežni disk EHR:</t>
  </si>
  <si>
    <t>WWMS</t>
  </si>
  <si>
    <t>Datum naručivanja TR-a</t>
  </si>
  <si>
    <t>#AlfaID</t>
  </si>
  <si>
    <t>BACKUP:</t>
  </si>
  <si>
    <t>UR_2_port</t>
  </si>
  <si>
    <t>#Broj_MP</t>
  </si>
  <si>
    <t>#korisnik_vendor</t>
  </si>
  <si>
    <t>PRIMAR:</t>
  </si>
  <si>
    <t>#ID_primar</t>
  </si>
  <si>
    <t>#ID_backup</t>
  </si>
  <si>
    <t>#SFP_10GE</t>
  </si>
  <si>
    <t>#SFP_ZX</t>
  </si>
  <si>
    <t>#TR_BP-ATN</t>
  </si>
  <si>
    <t>#MPLS1_lokacija</t>
  </si>
  <si>
    <t>#MPLS1_ID</t>
  </si>
  <si>
    <t>#MPLS1_port_primar</t>
  </si>
  <si>
    <t>#MPLS2_lokacija</t>
  </si>
  <si>
    <t>#MPLS2_ID</t>
  </si>
  <si>
    <t>#MPLS2_port_backup</t>
  </si>
  <si>
    <t>Datoteke_Korisnik_Naziv</t>
  </si>
  <si>
    <t>Datoteke_Adresa_instalacije</t>
  </si>
  <si>
    <t>#TR</t>
  </si>
  <si>
    <t>#MPLS1vm</t>
  </si>
  <si>
    <t>#MPLS2vm</t>
  </si>
  <si>
    <t>#UR_kategorija</t>
  </si>
  <si>
    <t>#UR_2_kategorija</t>
  </si>
  <si>
    <t>UR_1_port</t>
  </si>
  <si>
    <t>NetworkDrive:</t>
  </si>
  <si>
    <t>SVK_001_23</t>
  </si>
  <si>
    <t>e-mail</t>
  </si>
  <si>
    <t>netw_drive</t>
  </si>
  <si>
    <t>Vendor1</t>
  </si>
  <si>
    <t>Vendor3</t>
  </si>
  <si>
    <t>Vendor2</t>
  </si>
  <si>
    <t>e-mail to:</t>
  </si>
  <si>
    <t>TR_BP-  ?</t>
  </si>
  <si>
    <t>ID_short_1</t>
  </si>
  <si>
    <t>ID_short_2</t>
  </si>
  <si>
    <t>ID_short_3</t>
  </si>
  <si>
    <t>table_1.xlsx</t>
  </si>
  <si>
    <t>table_2.xlsx</t>
  </si>
  <si>
    <t>…</t>
  </si>
  <si>
    <t>P…!</t>
  </si>
  <si>
    <t>L…,</t>
  </si>
  <si>
    <t>BOGDANI</t>
  </si>
  <si>
    <t>BORONGAJSKI LUGOVI</t>
  </si>
  <si>
    <t>BOROVJE</t>
  </si>
  <si>
    <t>BRDOVEC</t>
  </si>
  <si>
    <t>A_ROUTER</t>
  </si>
  <si>
    <t>model1</t>
  </si>
  <si>
    <t>model2</t>
  </si>
  <si>
    <t>UR_BOGDANI</t>
  </si>
  <si>
    <t>UR_BORONGAJSKI LUGOVI</t>
  </si>
  <si>
    <t>UR_BOROVJE</t>
  </si>
  <si>
    <t>UR_BRDOVEC</t>
  </si>
  <si>
    <t>UR_BOGD</t>
  </si>
  <si>
    <t>UR_BOLU</t>
  </si>
  <si>
    <t>UR_BORO</t>
  </si>
  <si>
    <t>UR_BRDO</t>
  </si>
  <si>
    <t>BOGDANI, Vendor1 model1  UR_BOGD</t>
  </si>
  <si>
    <t>BORONGAJSKI LUGOVI, Vendor1 model1  UR_BOLU</t>
  </si>
  <si>
    <t>BOROVJE, Vendor2 model2  UR_BORO</t>
  </si>
  <si>
    <t>BRDOVEC, Vendor1 model1  UR_BRDO</t>
  </si>
  <si>
    <t>Vendor2 model2  UR_BORO</t>
  </si>
  <si>
    <t>xxx</t>
  </si>
  <si>
    <t>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</si>
</sst>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11"/>
      <name val="Arial"/>
      <family val="2"/>
      <charset val="238"/>
    </font>
    <font>
      <sz val="11"/>
      <color rgb="FF0070C0"/>
      <name val="Arial"/>
      <family val="2"/>
      <charset val="238"/>
    </font>
    <font>
      <sz val="11"/>
      <color theme="1"/>
      <name val="Arial"/>
      <family val="2"/>
      <charset val="238"/>
    </font>
    <font>
      <b/>
      <sz val="11"/>
      <name val="Arial"/>
      <family val="2"/>
      <charset val="238"/>
    </font>
    <font>
      <sz val="11"/>
      <color indexed="12"/>
      <name val="Arial"/>
      <family val="2"/>
      <charset val="238"/>
    </font>
    <font>
      <b/>
      <sz val="11"/>
      <color theme="1"/>
      <name val="Arial"/>
      <family val="2"/>
      <charset val="238"/>
    </font>
    <font>
      <sz val="10"/>
      <name val="Arial"/>
      <family val="2"/>
      <charset val="238"/>
    </font>
    <font>
      <b/>
      <sz val="11"/>
      <color rgb="FF0070C0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b/>
      <sz val="11"/>
      <color theme="0"/>
      <name val="Arial"/>
      <family val="2"/>
      <charset val="238"/>
    </font>
    <font>
      <b/>
      <sz val="11"/>
      <color rgb="FF000000"/>
      <name val="Arial"/>
      <family val="2"/>
      <charset val="238"/>
    </font>
    <font>
      <sz val="11"/>
      <color rgb="FF000000"/>
      <name val="Arial"/>
      <family val="2"/>
      <charset val="238"/>
    </font>
    <font>
      <sz val="12"/>
      <name val="Arial"/>
      <family val="2"/>
      <charset val="238"/>
    </font>
    <font>
      <sz val="12"/>
      <color theme="1"/>
      <name val="Arial"/>
      <family val="2"/>
      <charset val="238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2007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lightGrid">
        <fgColor theme="0" tint="-0.34998626667073579"/>
        <bgColor theme="0" tint="-0.1498458815271462"/>
      </patternFill>
    </fill>
    <fill>
      <patternFill patternType="solid">
        <fgColor rgb="FFFFFF66"/>
        <bgColor indexed="64"/>
      </patternFill>
    </fill>
    <fill>
      <patternFill patternType="lightGrid">
        <fgColor theme="0" tint="-0.24994659260841701"/>
        <bgColor indexed="65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0" fillId="0" borderId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/>
  </cellStyleXfs>
  <cellXfs count="143">
    <xf numFmtId="0" fontId="0" fillId="0" borderId="0" xfId="0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vertical="center"/>
    </xf>
    <xf numFmtId="0" fontId="6" fillId="0" borderId="9" xfId="0" applyFont="1" applyBorder="1"/>
    <xf numFmtId="0" fontId="8" fillId="0" borderId="9" xfId="0" applyFont="1" applyBorder="1"/>
    <xf numFmtId="0" fontId="4" fillId="0" borderId="9" xfId="0" applyFont="1" applyBorder="1"/>
    <xf numFmtId="0" fontId="4" fillId="0" borderId="0" xfId="0" applyFont="1"/>
    <xf numFmtId="0" fontId="6" fillId="0" borderId="0" xfId="0" applyFont="1"/>
    <xf numFmtId="0" fontId="9" fillId="0" borderId="0" xfId="0" applyFont="1"/>
    <xf numFmtId="0" fontId="13" fillId="2" borderId="1" xfId="0" applyFont="1" applyFill="1" applyBorder="1"/>
    <xf numFmtId="0" fontId="10" fillId="6" borderId="13" xfId="0" applyFont="1" applyFill="1" applyBorder="1"/>
    <xf numFmtId="0" fontId="10" fillId="6" borderId="2" xfId="0" applyFont="1" applyFill="1" applyBorder="1"/>
    <xf numFmtId="0" fontId="10" fillId="7" borderId="3" xfId="0" applyFont="1" applyFill="1" applyBorder="1"/>
    <xf numFmtId="0" fontId="15" fillId="6" borderId="0" xfId="0" applyFont="1" applyFill="1"/>
    <xf numFmtId="0" fontId="10" fillId="6" borderId="12" xfId="0" applyFont="1" applyFill="1" applyBorder="1"/>
    <xf numFmtId="0" fontId="10" fillId="6" borderId="14" xfId="0" applyFont="1" applyFill="1" applyBorder="1"/>
    <xf numFmtId="0" fontId="10" fillId="7" borderId="5" xfId="0" applyFont="1" applyFill="1" applyBorder="1"/>
    <xf numFmtId="0" fontId="10" fillId="6" borderId="15" xfId="0" applyFont="1" applyFill="1" applyBorder="1"/>
    <xf numFmtId="0" fontId="10" fillId="6" borderId="6" xfId="0" applyFont="1" applyFill="1" applyBorder="1"/>
    <xf numFmtId="0" fontId="10" fillId="0" borderId="0" xfId="0" applyFont="1"/>
    <xf numFmtId="0" fontId="14" fillId="2" borderId="1" xfId="0" applyFont="1" applyFill="1" applyBorder="1"/>
    <xf numFmtId="0" fontId="15" fillId="0" borderId="0" xfId="0" applyFont="1"/>
    <xf numFmtId="0" fontId="10" fillId="7" borderId="7" xfId="0" applyFont="1" applyFill="1" applyBorder="1"/>
    <xf numFmtId="0" fontId="15" fillId="6" borderId="15" xfId="0" applyFont="1" applyFill="1" applyBorder="1"/>
    <xf numFmtId="0" fontId="15" fillId="6" borderId="6" xfId="0" applyFont="1" applyFill="1" applyBorder="1"/>
    <xf numFmtId="0" fontId="15" fillId="6" borderId="13" xfId="0" applyFont="1" applyFill="1" applyBorder="1"/>
    <xf numFmtId="0" fontId="15" fillId="6" borderId="2" xfId="0" applyFont="1" applyFill="1" applyBorder="1"/>
    <xf numFmtId="0" fontId="10" fillId="6" borderId="0" xfId="0" applyFont="1" applyFill="1"/>
    <xf numFmtId="0" fontId="1" fillId="0" borderId="0" xfId="0" applyFont="1"/>
    <xf numFmtId="0" fontId="19" fillId="10" borderId="16" xfId="5" applyFont="1" applyFill="1" applyBorder="1" applyAlignment="1">
      <alignment horizontal="center" vertical="center" wrapText="1"/>
    </xf>
    <xf numFmtId="0" fontId="19" fillId="11" borderId="16" xfId="5" applyFont="1" applyFill="1" applyBorder="1" applyAlignment="1">
      <alignment horizontal="center" vertical="center" wrapText="1"/>
    </xf>
    <xf numFmtId="0" fontId="19" fillId="11" borderId="17" xfId="5" applyFont="1" applyFill="1" applyBorder="1" applyAlignment="1">
      <alignment horizontal="left" vertical="center" wrapText="1"/>
    </xf>
    <xf numFmtId="0" fontId="7" fillId="8" borderId="16" xfId="5" applyFont="1" applyFill="1" applyBorder="1" applyAlignment="1">
      <alignment horizontal="center" vertical="center" wrapText="1"/>
    </xf>
    <xf numFmtId="0" fontId="19" fillId="10" borderId="16" xfId="5" applyFont="1" applyFill="1" applyBorder="1" applyAlignment="1">
      <alignment horizontal="left" vertical="center" wrapText="1"/>
    </xf>
    <xf numFmtId="0" fontId="19" fillId="10" borderId="17" xfId="5" applyFont="1" applyFill="1" applyBorder="1" applyAlignment="1">
      <alignment horizontal="center" vertical="center" wrapText="1"/>
    </xf>
    <xf numFmtId="0" fontId="19" fillId="10" borderId="17" xfId="5" applyFont="1" applyFill="1" applyBorder="1" applyAlignment="1">
      <alignment horizontal="left" vertical="center" wrapText="1"/>
    </xf>
    <xf numFmtId="0" fontId="19" fillId="11" borderId="16" xfId="5" applyFont="1" applyFill="1" applyBorder="1" applyAlignment="1">
      <alignment horizontal="left" vertical="center" wrapText="1"/>
    </xf>
    <xf numFmtId="0" fontId="4" fillId="0" borderId="0" xfId="5" applyFont="1"/>
    <xf numFmtId="0" fontId="4" fillId="6" borderId="0" xfId="5" applyFont="1" applyFill="1" applyAlignment="1">
      <alignment horizontal="center" vertical="center"/>
    </xf>
    <xf numFmtId="49" fontId="4" fillId="6" borderId="0" xfId="5" applyNumberFormat="1" applyFont="1" applyFill="1" applyAlignment="1">
      <alignment horizontal="center"/>
    </xf>
    <xf numFmtId="49" fontId="4" fillId="6" borderId="0" xfId="5" applyNumberFormat="1" applyFont="1" applyFill="1" applyAlignment="1">
      <alignment horizontal="left"/>
    </xf>
    <xf numFmtId="0" fontId="4" fillId="2" borderId="0" xfId="0" applyFont="1" applyFill="1"/>
    <xf numFmtId="49" fontId="4" fillId="0" borderId="0" xfId="5" applyNumberFormat="1" applyFont="1" applyAlignment="1">
      <alignment horizontal="left"/>
    </xf>
    <xf numFmtId="1" fontId="4" fillId="0" borderId="0" xfId="5" applyNumberFormat="1" applyFont="1" applyAlignment="1">
      <alignment horizontal="left"/>
    </xf>
    <xf numFmtId="1" fontId="4" fillId="2" borderId="0" xfId="5" applyNumberFormat="1" applyFont="1" applyFill="1" applyAlignment="1">
      <alignment horizontal="left"/>
    </xf>
    <xf numFmtId="0" fontId="7" fillId="12" borderId="0" xfId="0" applyFont="1" applyFill="1" applyAlignment="1">
      <alignment vertical="center"/>
    </xf>
    <xf numFmtId="0" fontId="20" fillId="13" borderId="8" xfId="0" applyFont="1" applyFill="1" applyBorder="1" applyAlignment="1">
      <alignment horizontal="center" vertical="center" wrapText="1"/>
    </xf>
    <xf numFmtId="0" fontId="21" fillId="13" borderId="4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 wrapText="1"/>
    </xf>
    <xf numFmtId="14" fontId="21" fillId="13" borderId="4" xfId="0" applyNumberFormat="1" applyFont="1" applyFill="1" applyBorder="1" applyAlignment="1">
      <alignment horizontal="center" vertical="center"/>
    </xf>
    <xf numFmtId="0" fontId="10" fillId="0" borderId="18" xfId="0" applyFont="1" applyFill="1" applyBorder="1"/>
    <xf numFmtId="0" fontId="10" fillId="0" borderId="12" xfId="0" applyFont="1" applyFill="1" applyBorder="1"/>
    <xf numFmtId="0" fontId="10" fillId="7" borderId="18" xfId="0" applyFont="1" applyFill="1" applyBorder="1"/>
    <xf numFmtId="0" fontId="22" fillId="0" borderId="12" xfId="0" applyFont="1" applyFill="1" applyBorder="1"/>
    <xf numFmtId="0" fontId="23" fillId="0" borderId="12" xfId="0" applyFont="1" applyFill="1" applyBorder="1"/>
    <xf numFmtId="0" fontId="10" fillId="7" borderId="1" xfId="0" applyFont="1" applyFill="1" applyBorder="1"/>
    <xf numFmtId="0" fontId="10" fillId="0" borderId="0" xfId="0" applyFont="1" applyFill="1" applyBorder="1"/>
    <xf numFmtId="0" fontId="22" fillId="0" borderId="0" xfId="0" applyFont="1" applyFill="1" applyBorder="1"/>
    <xf numFmtId="0" fontId="6" fillId="7" borderId="7" xfId="0" applyFont="1" applyFill="1" applyBorder="1"/>
    <xf numFmtId="0" fontId="6" fillId="7" borderId="5" xfId="0" applyFont="1" applyFill="1" applyBorder="1"/>
    <xf numFmtId="0" fontId="9" fillId="2" borderId="1" xfId="0" applyFont="1" applyFill="1" applyBorder="1"/>
    <xf numFmtId="0" fontId="6" fillId="0" borderId="0" xfId="0" applyFont="1" applyFill="1" applyAlignment="1" applyProtection="1">
      <alignment horizontal="left" vertical="center"/>
      <protection locked="0"/>
    </xf>
    <xf numFmtId="0" fontId="6" fillId="12" borderId="0" xfId="0" applyFont="1" applyFill="1" applyAlignment="1" applyProtection="1">
      <alignment horizontal="left" vertical="center"/>
      <protection locked="0"/>
    </xf>
    <xf numFmtId="0" fontId="9" fillId="12" borderId="0" xfId="0" applyFont="1" applyFill="1" applyAlignment="1" applyProtection="1">
      <alignment horizontal="left" vertical="center"/>
      <protection locked="0"/>
    </xf>
    <xf numFmtId="0" fontId="9" fillId="9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center"/>
      <protection locked="0"/>
    </xf>
    <xf numFmtId="0" fontId="6" fillId="0" borderId="0" xfId="0" applyFont="1" applyProtection="1"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9" borderId="0" xfId="0" applyFont="1" applyFill="1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9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4" borderId="0" xfId="0" applyFont="1" applyFill="1" applyAlignment="1" applyProtection="1">
      <alignment vertical="center"/>
      <protection locked="0"/>
    </xf>
    <xf numFmtId="0" fontId="17" fillId="3" borderId="0" xfId="0" applyFont="1" applyFill="1" applyAlignment="1" applyProtection="1">
      <alignment vertical="center"/>
      <protection locked="0"/>
    </xf>
    <xf numFmtId="0" fontId="6" fillId="0" borderId="0" xfId="0" applyFont="1" applyFill="1" applyProtection="1">
      <protection locked="0"/>
    </xf>
    <xf numFmtId="0" fontId="6" fillId="0" borderId="0" xfId="0" applyFont="1" applyFill="1" applyAlignment="1" applyProtection="1">
      <alignment vertic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right" vertical="center"/>
      <protection locked="0"/>
    </xf>
    <xf numFmtId="0" fontId="6" fillId="9" borderId="19" xfId="0" applyFont="1" applyFill="1" applyBorder="1" applyProtection="1">
      <protection locked="0"/>
    </xf>
    <xf numFmtId="0" fontId="4" fillId="9" borderId="14" xfId="0" applyFont="1" applyFill="1" applyBorder="1" applyProtection="1">
      <protection locked="0"/>
    </xf>
    <xf numFmtId="0" fontId="4" fillId="9" borderId="14" xfId="0" applyFont="1" applyFill="1" applyBorder="1" applyAlignment="1" applyProtection="1">
      <alignment vertical="center"/>
      <protection locked="0"/>
    </xf>
    <xf numFmtId="0" fontId="4" fillId="9" borderId="6" xfId="0" applyFont="1" applyFill="1" applyBorder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4" fillId="4" borderId="0" xfId="0" applyFont="1" applyFill="1" applyProtection="1">
      <protection locked="0"/>
    </xf>
    <xf numFmtId="0" fontId="4" fillId="0" borderId="0" xfId="0" applyFont="1" applyFill="1" applyProtection="1"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15" fillId="0" borderId="0" xfId="0" applyNumberFormat="1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4" fillId="0" borderId="0" xfId="0" applyFont="1" applyFill="1" applyAlignment="1" applyProtection="1">
      <alignment vertical="center"/>
    </xf>
    <xf numFmtId="0" fontId="7" fillId="12" borderId="0" xfId="0" applyFont="1" applyFill="1" applyAlignment="1" applyProtection="1">
      <alignment vertical="center"/>
    </xf>
    <xf numFmtId="0" fontId="9" fillId="12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vertical="center"/>
    </xf>
    <xf numFmtId="0" fontId="7" fillId="9" borderId="0" xfId="0" applyFont="1" applyFill="1" applyAlignment="1" applyProtection="1">
      <alignment vertical="center"/>
    </xf>
    <xf numFmtId="0" fontId="6" fillId="0" borderId="0" xfId="0" applyFont="1" applyProtection="1"/>
    <xf numFmtId="0" fontId="9" fillId="5" borderId="0" xfId="0" applyFont="1" applyFill="1" applyProtection="1"/>
    <xf numFmtId="0" fontId="4" fillId="9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4" fillId="0" borderId="12" xfId="0" applyFont="1" applyFill="1" applyBorder="1" applyProtection="1"/>
    <xf numFmtId="0" fontId="4" fillId="0" borderId="12" xfId="0" applyFont="1" applyFill="1" applyBorder="1" applyAlignment="1" applyProtection="1">
      <alignment vertical="center"/>
    </xf>
    <xf numFmtId="0" fontId="4" fillId="0" borderId="15" xfId="0" applyFont="1" applyFill="1" applyBorder="1" applyAlignment="1" applyProtection="1">
      <alignment vertical="center"/>
    </xf>
    <xf numFmtId="0" fontId="4" fillId="4" borderId="0" xfId="0" applyFont="1" applyFill="1" applyAlignment="1" applyProtection="1">
      <alignment vertical="center"/>
    </xf>
    <xf numFmtId="0" fontId="4" fillId="4" borderId="0" xfId="0" applyFont="1" applyFill="1" applyProtection="1"/>
    <xf numFmtId="0" fontId="9" fillId="0" borderId="0" xfId="0" applyFont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14" fontId="21" fillId="0" borderId="0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6" fillId="4" borderId="0" xfId="0" applyFont="1" applyFill="1" applyAlignment="1" applyProtection="1">
      <alignment horizontal="right" vertical="center"/>
    </xf>
    <xf numFmtId="0" fontId="0" fillId="0" borderId="0" xfId="0" applyFill="1"/>
    <xf numFmtId="0" fontId="14" fillId="0" borderId="0" xfId="0" applyFont="1"/>
    <xf numFmtId="0" fontId="14" fillId="2" borderId="0" xfId="0" applyFont="1" applyFill="1"/>
    <xf numFmtId="0" fontId="6" fillId="0" borderId="10" xfId="0" applyFont="1" applyBorder="1" applyProtection="1"/>
    <xf numFmtId="0" fontId="6" fillId="15" borderId="0" xfId="0" applyFont="1" applyFill="1" applyAlignment="1" applyProtection="1">
      <alignment vertical="center"/>
      <protection locked="0"/>
    </xf>
    <xf numFmtId="0" fontId="9" fillId="14" borderId="0" xfId="0" applyFont="1" applyFill="1" applyBorder="1" applyAlignment="1" applyProtection="1">
      <alignment vertical="center"/>
      <protection locked="0"/>
    </xf>
    <xf numFmtId="0" fontId="9" fillId="16" borderId="0" xfId="0" applyFont="1" applyFill="1" applyProtection="1">
      <protection locked="0"/>
    </xf>
    <xf numFmtId="0" fontId="13" fillId="2" borderId="11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14" fillId="2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0" fillId="0" borderId="0" xfId="0" applyFont="1" applyFill="1"/>
    <xf numFmtId="0" fontId="18" fillId="0" borderId="0" xfId="0" applyFont="1" applyFill="1"/>
    <xf numFmtId="0" fontId="4" fillId="0" borderId="0" xfId="0" applyFont="1" applyFill="1"/>
    <xf numFmtId="0" fontId="7" fillId="0" borderId="0" xfId="0" applyFont="1" applyFill="1"/>
    <xf numFmtId="0" fontId="10" fillId="0" borderId="0" xfId="3" applyFont="1" applyFill="1" applyAlignment="1" applyProtection="1"/>
    <xf numFmtId="0" fontId="4" fillId="0" borderId="0" xfId="2" applyFont="1" applyFill="1" applyAlignment="1" applyProtection="1"/>
    <xf numFmtId="0" fontId="26" fillId="0" borderId="0" xfId="2" applyFont="1" applyFill="1" applyAlignment="1" applyProtection="1"/>
    <xf numFmtId="0" fontId="10" fillId="7" borderId="0" xfId="0" applyFont="1" applyFill="1"/>
    <xf numFmtId="0" fontId="10" fillId="7" borderId="0" xfId="3" applyFont="1" applyFill="1" applyAlignment="1" applyProtection="1"/>
    <xf numFmtId="0" fontId="4" fillId="7" borderId="0" xfId="2" applyFont="1" applyFill="1"/>
    <xf numFmtId="49" fontId="10" fillId="7" borderId="0" xfId="3" applyNumberFormat="1" applyFont="1" applyFill="1" applyAlignment="1" applyProtection="1"/>
    <xf numFmtId="49" fontId="10" fillId="0" borderId="0" xfId="3" applyNumberFormat="1" applyFont="1" applyFill="1" applyAlignment="1" applyProtection="1"/>
    <xf numFmtId="0" fontId="4" fillId="0" borderId="0" xfId="2" applyFont="1" applyFill="1"/>
    <xf numFmtId="0" fontId="18" fillId="0" borderId="0" xfId="0" applyFont="1"/>
  </cellXfs>
  <cellStyles count="6">
    <cellStyle name="Hyperlink" xfId="2" builtinId="8"/>
    <cellStyle name="Hyperlink 2" xfId="3" xr:uid="{6CB7BB5D-97E2-4EFC-95A3-FAFB679A4B5A}"/>
    <cellStyle name="Normal" xfId="0" builtinId="0"/>
    <cellStyle name="Normal 2" xfId="1" xr:uid="{FA23FCCB-08E4-4CA2-8F69-01180BB31DFB}"/>
    <cellStyle name="Normal_CTO CAPEX 2005 january1 2" xfId="5" xr:uid="{93D10A57-C2D5-4A55-B6FE-7AE94F074BB9}"/>
    <cellStyle name="Style 1 2" xfId="4" xr:uid="{A22F58DF-2689-40AB-8101-09BD0D75F75A}"/>
  </cellStyles>
  <dxfs count="0"/>
  <tableStyles count="0" defaultTableStyle="TableStyleMedium2" defaultPivotStyle="PivotStyleLight16"/>
  <colors>
    <mruColors>
      <color rgb="FFFFFF66"/>
      <color rgb="FFFFFF99"/>
      <color rgb="FFF8F3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24</xdr:row>
      <xdr:rowOff>19050</xdr:rowOff>
    </xdr:from>
    <xdr:to>
      <xdr:col>1</xdr:col>
      <xdr:colOff>5419725</xdr:colOff>
      <xdr:row>25</xdr:row>
      <xdr:rowOff>104775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30</xdr:row>
      <xdr:rowOff>180975</xdr:rowOff>
    </xdr:from>
    <xdr:to>
      <xdr:col>1</xdr:col>
      <xdr:colOff>5429250</xdr:colOff>
      <xdr:row>32</xdr:row>
      <xdr:rowOff>85725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2290"/>
            </a:ex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24</xdr:row>
          <xdr:rowOff>9525</xdr:rowOff>
        </xdr:from>
        <xdr:to>
          <xdr:col>1</xdr:col>
          <xdr:colOff>5438775</xdr:colOff>
          <xdr:row>24</xdr:row>
          <xdr:rowOff>276225</xdr:rowOff>
        </xdr:to>
        <xdr:sp macro="" textlink="">
          <xdr:nvSpPr>
            <xdr:cNvPr id="12291" name="Combo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19050</xdr:rowOff>
        </xdr:from>
        <xdr:to>
          <xdr:col>1</xdr:col>
          <xdr:colOff>5429250</xdr:colOff>
          <xdr:row>32</xdr:row>
          <xdr:rowOff>0</xdr:rowOff>
        </xdr:to>
        <xdr:sp macro="" textlink="">
          <xdr:nvSpPr>
            <xdr:cNvPr id="12292" name="ComboBox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_POSAO/AKTIVA_2023/00_UPUTE_A/001_pc_kaptol_cent/2023_05M_02_Rezerv%20porta_BAZNA/TEMP/BAS/orig_Excel_TR_rad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R_ID_POPIS"/>
      <sheetName val="MP_REPORT"/>
      <sheetName val="OPREMA CATALYST"/>
      <sheetName val="MATERIJAL"/>
      <sheetName val="POPISI"/>
      <sheetName val="MPLS"/>
      <sheetName val="CISCO"/>
      <sheetName val="JUNIPER"/>
      <sheetName val="HUAWEI"/>
      <sheetName val="NOKIA"/>
      <sheetName val="WWMS"/>
      <sheetName val="RADN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C2" t="str">
            <v>Net PRO</v>
          </cell>
          <cell r="D2" t="str">
            <v>ZX_SFP</v>
          </cell>
          <cell r="F2" t="str">
            <v>Mario.Matjacic@ericsson.com</v>
          </cell>
        </row>
        <row r="3">
          <cell r="C3" t="str">
            <v>Privatna mreža - stalni pristup</v>
          </cell>
          <cell r="F3" t="str">
            <v>Mario.Brisevac@ericsson.com</v>
          </cell>
        </row>
        <row r="4">
          <cell r="C4" t="str">
            <v>Net Voice</v>
          </cell>
          <cell r="F4" t="str">
            <v>Bojana.Madzar@ericsson.com</v>
          </cell>
        </row>
        <row r="5">
          <cell r="C5" t="str">
            <v>Hybrid Cloud</v>
          </cell>
          <cell r="F5" t="str">
            <v>Mario.a.Juric@ericsson.com</v>
          </cell>
        </row>
        <row r="6">
          <cell r="C6" t="str">
            <v>Metro</v>
          </cell>
          <cell r="D6" t="str">
            <v>10GE LR (10 km)</v>
          </cell>
          <cell r="F6" t="str">
            <v>Oliver.Simac@ericsson.com</v>
          </cell>
        </row>
        <row r="7">
          <cell r="C7" t="str">
            <v>Metro Vario</v>
          </cell>
          <cell r="D7" t="str">
            <v>10GE ER (40 km)</v>
          </cell>
        </row>
        <row r="8">
          <cell r="D8" t="str">
            <v>10GE ZR (80 km)</v>
          </cell>
          <cell r="F8" t="str">
            <v>Ivica.Cokor@ericsson.com</v>
          </cell>
        </row>
        <row r="9">
          <cell r="C9" t="str">
            <v>L2 međunarodni Ethernet</v>
          </cell>
          <cell r="F9" t="str">
            <v>Tihomir.Mesaric@ericsson.com</v>
          </cell>
        </row>
        <row r="10">
          <cell r="C10" t="str">
            <v>L3 međunarodna privatna mreža</v>
          </cell>
          <cell r="F10" t="str">
            <v>Renato.Horvat@ericsson.com</v>
          </cell>
        </row>
        <row r="11">
          <cell r="C11" t="str">
            <v>Net PRO Basic</v>
          </cell>
          <cell r="F11" t="str">
            <v>Zdravko.Remetovic@ericsson.com</v>
          </cell>
        </row>
        <row r="12">
          <cell r="C12" t="str">
            <v>Privatna mreža Basic</v>
          </cell>
          <cell r="F12" t="str">
            <v>Dean.Bahmet@ericsson.com</v>
          </cell>
        </row>
        <row r="13">
          <cell r="C13" t="str">
            <v>Net PRO Vario</v>
          </cell>
        </row>
        <row r="14">
          <cell r="C14" t="str">
            <v>Privatna mreža Vario</v>
          </cell>
          <cell r="D14" t="str">
            <v>SLA</v>
          </cell>
        </row>
        <row r="15">
          <cell r="C15" t="str">
            <v>Data Office (PM-sp + Net PRO)</v>
          </cell>
        </row>
        <row r="16">
          <cell r="C16" t="str">
            <v>Data Office (PM-sp + Net PRO)</v>
          </cell>
        </row>
        <row r="17">
          <cell r="C17" t="str">
            <v>Net Voice (Data Office)</v>
          </cell>
        </row>
        <row r="18">
          <cell r="C18" t="str">
            <v>PRO LINE</v>
          </cell>
        </row>
        <row r="19">
          <cell r="C19" t="str">
            <v>PRO LINE</v>
          </cell>
        </row>
        <row r="20">
          <cell r="C20" t="str">
            <v>Net Voice (PRO LINE)</v>
          </cell>
        </row>
        <row r="21">
          <cell r="C21" t="str">
            <v>Net Voice</v>
          </cell>
        </row>
      </sheetData>
      <sheetData sheetId="5">
        <row r="6">
          <cell r="J6" t="str">
            <v>ALMERIA VUKOVARSKA_10_MEDIUM_ATN950D_CHZG-ALMERIAVUKOVARSKA</v>
          </cell>
        </row>
        <row r="7">
          <cell r="J7" t="str">
            <v>ARENA ZAGREB_10_MEDIUM_ATN950D_CHZG-ARENAZAGREB</v>
          </cell>
        </row>
        <row r="8">
          <cell r="J8" t="str">
            <v>ARENA ZAGREB_10_MX104_CXZG-ARENA</v>
          </cell>
        </row>
        <row r="9">
          <cell r="J9" t="str">
            <v>ARENA ZAGREB_10_ACX4000_CAZG-ARENA</v>
          </cell>
        </row>
        <row r="10">
          <cell r="J10" t="str">
            <v>AVENUE MALL_10_MX104_CXZG-AVENUEMALL</v>
          </cell>
        </row>
        <row r="11">
          <cell r="J11" t="str">
            <v>BAUMAX_42_SMALL_ATN910C-G_CHVZ-BAUMAX</v>
          </cell>
        </row>
        <row r="12">
          <cell r="J12" t="str">
            <v>BELOVAR_10_MX104_CXZG-BELOVAR</v>
          </cell>
        </row>
        <row r="13">
          <cell r="J13" t="str">
            <v>BIJENIK_10_MEDIUM_ATN950D_CHZG-BIJENIK</v>
          </cell>
        </row>
        <row r="14">
          <cell r="J14" t="str">
            <v>BJELOVAR_43_MX960_MVZ-BJ-11</v>
          </cell>
        </row>
        <row r="15">
          <cell r="J15" t="str">
            <v>BJELOVAR_43_MX960_MVZ-BJ-12</v>
          </cell>
        </row>
        <row r="16">
          <cell r="J16" t="str">
            <v>BLATUŠA_44_NE40E-X8A_MZG-BL-19</v>
          </cell>
        </row>
        <row r="17">
          <cell r="J17" t="str">
            <v>BOGDANI_10_SMALL_ATN910C-G_CHZG-BOGDANI</v>
          </cell>
        </row>
        <row r="18">
          <cell r="J18" t="str">
            <v>BORONGAJSKI LUGOVI_10_ACX4000_CAZG-BORONGAJSKILUGOVI</v>
          </cell>
        </row>
        <row r="19">
          <cell r="J19" t="str">
            <v>BOROVJE_10_SMALL_ATN910C-G_CHZG-BOROVJE</v>
          </cell>
        </row>
        <row r="20">
          <cell r="J20" t="str">
            <v>BRDOVEC_10_SMALL_ATN910C-G_CHZG-BRDOVEC</v>
          </cell>
        </row>
        <row r="21">
          <cell r="J21" t="str">
            <v>BREGANA_10_MX104_CXZG-BREGANA</v>
          </cell>
        </row>
        <row r="22">
          <cell r="J22" t="str">
            <v>BREZNIČKI HUM_42_MX104_CXVZ-BREZNICKIHUM</v>
          </cell>
        </row>
        <row r="23">
          <cell r="J23" t="str">
            <v>BREZOVICA_10_SMALL_ATN910C-G_CHZG-BREZOVICA</v>
          </cell>
        </row>
        <row r="24">
          <cell r="J24" t="str">
            <v>BTS HTM VRTLINOVEC_42_SMALL_ATN910C-G_CHVZ-VRTLINOVEC</v>
          </cell>
        </row>
        <row r="25">
          <cell r="J25" t="str">
            <v>BUKOVAC_10_MX960_MZG-BU-11</v>
          </cell>
        </row>
        <row r="26">
          <cell r="J26" t="str">
            <v>BUKOVAČKA_10_MX104_CXZG-BUKOVACKA</v>
          </cell>
        </row>
        <row r="27">
          <cell r="J27" t="str">
            <v>BULINAC_43_NE40E-X8A_MVZ-BU-19</v>
          </cell>
        </row>
        <row r="28">
          <cell r="J28" t="str">
            <v>CAREVDAR_48_NE40E-X8A_MVZ-CD-19</v>
          </cell>
        </row>
        <row r="29">
          <cell r="J29" t="str">
            <v>CENTAR 4_10_MX960_MZG-JU-21</v>
          </cell>
        </row>
        <row r="30">
          <cell r="J30" t="str">
            <v>CENTAR_40_NE40E-X8A_MVZ-CK-19</v>
          </cell>
        </row>
        <row r="31">
          <cell r="J31" t="str">
            <v>CENTAR_40_MX960_MVZ-CK-11</v>
          </cell>
        </row>
        <row r="32">
          <cell r="J32" t="str">
            <v>CITY CENTAR ONE-ŽITNJAK_10_ACX1000_CAZG-CITYCENTAREAST</v>
          </cell>
        </row>
        <row r="33">
          <cell r="J33" t="str">
            <v>CROATIA AIRLINES PLESO_10_ACX4000_CAZG-MZLZ1</v>
          </cell>
        </row>
        <row r="34">
          <cell r="J34" t="str">
            <v>CROATIA AIRLINES PLESO_10_ACX4000_CAZG-MZLZ2</v>
          </cell>
        </row>
        <row r="35">
          <cell r="J35" t="str">
            <v>CRVENI KRIŽ_10_SMALL_ATN910C-G_CHZG-CRVENIKRIZ</v>
          </cell>
        </row>
        <row r="36">
          <cell r="J36" t="str">
            <v>ČAZMA_43_MX104_CXVZ-CAZMA</v>
          </cell>
        </row>
        <row r="37">
          <cell r="J37" t="str">
            <v>ČRNOMEREC_10_MX960_MZG-CR-21</v>
          </cell>
        </row>
        <row r="38">
          <cell r="J38" t="str">
            <v>DALMATINSKA_10_ACX4000_CAZG-UPSDALMATINSKA</v>
          </cell>
        </row>
        <row r="39">
          <cell r="J39" t="str">
            <v>DARUVAR_43_NE40E-X8A_MZG-DA-19</v>
          </cell>
        </row>
        <row r="40">
          <cell r="J40" t="str">
            <v>DOLJE_10_MX104_CXZG-DOLJE</v>
          </cell>
        </row>
        <row r="41">
          <cell r="J41" t="str">
            <v>DOM SPORTOVA_10_MEDIUM_ATN950D_CHZG-DOMSPORTOVA</v>
          </cell>
        </row>
        <row r="42">
          <cell r="J42" t="str">
            <v>DONJA BISTRA_10_MEDIUM_ATN950D_CHZG-DONJABISTRA</v>
          </cell>
        </row>
        <row r="43">
          <cell r="J43" t="str">
            <v>DONJA DUBRAVA_40_ACX4000_CAVZ-DONJADUBRAVA</v>
          </cell>
        </row>
        <row r="44">
          <cell r="J44" t="str">
            <v>DONJA LOMNICA_10_MEDIUM_ATN950D_CHZG-DLOMNICA</v>
          </cell>
        </row>
        <row r="45">
          <cell r="J45" t="str">
            <v>DONJA STUBICA_49_NE40E-X8A_MVZ-DO-19</v>
          </cell>
        </row>
        <row r="46">
          <cell r="J46" t="str">
            <v>DONJA ZELINA_10_SMALL_ATN910C-G_CHVZ-DONJAZELINA</v>
          </cell>
        </row>
        <row r="47">
          <cell r="J47" t="str">
            <v>DONJI HUM NA SUTLI_49_SMALL_ATN910C-G_CHVZ-DONJIHUMNASUTLI</v>
          </cell>
        </row>
        <row r="48">
          <cell r="J48" t="str">
            <v>DRAŠKOVIĆEVA_10_MX960_MZG-DR-11</v>
          </cell>
        </row>
        <row r="49">
          <cell r="J49" t="str">
            <v>DRAŠKOVIĆEVA_10_MX960_MZG-DR-21</v>
          </cell>
        </row>
        <row r="50">
          <cell r="J50" t="str">
            <v>DRAŠKOVIĆEVA_10_ACX4000_CAZG-DRASKOVICEVA1</v>
          </cell>
        </row>
        <row r="51">
          <cell r="J51" t="str">
            <v>DRNJE_48_SMALL_ATN910C-G_CHVZ-DRNJE</v>
          </cell>
        </row>
        <row r="52">
          <cell r="J52" t="str">
            <v>DUBRAVA ZAPAD_10_MX960_MZG-DZ-11</v>
          </cell>
        </row>
        <row r="53">
          <cell r="J53" t="str">
            <v>DUBRAVA_10_MX960_MZG-DU-11</v>
          </cell>
        </row>
        <row r="54">
          <cell r="J54" t="str">
            <v>DUGO SELO_10_NE40E-X8A_MZG-DS-29</v>
          </cell>
        </row>
        <row r="55">
          <cell r="J55" t="str">
            <v>DVOR_44_NE40E-X8A_MZG-DV-19</v>
          </cell>
        </row>
        <row r="56">
          <cell r="J56" t="str">
            <v>ĐELEKOVEC_48_MX104_CXVZ-DELEKOVEC</v>
          </cell>
        </row>
        <row r="57">
          <cell r="J57" t="str">
            <v>ĐULOVAC_43_ACX4000_CAZG-DJULOVAC</v>
          </cell>
        </row>
        <row r="58">
          <cell r="J58" t="str">
            <v>ĐURĐEVAC_48_NE40E-X8A_MVZ-DC-19</v>
          </cell>
        </row>
        <row r="59">
          <cell r="J59" t="str">
            <v>EUROTORANJ KORDIĆ-MAMIĆ_10_MEDIUM_ATN950D_CHZG-EUROTKORMAM</v>
          </cell>
        </row>
        <row r="60">
          <cell r="J60" t="str">
            <v>FARKAŠEVEC SAMOBORSKI_10_SMALL_ATN910C-G_CHZG-FARKASEVECSAMOBORSKI</v>
          </cell>
        </row>
        <row r="61">
          <cell r="J61" t="str">
            <v>FOLNEGOVIĆEVO NASELJE_10_SMALL_ATN910C-G_CHZG-FOLNEGOVICEVONASELJE</v>
          </cell>
        </row>
        <row r="62">
          <cell r="J62" t="str">
            <v>GAREŠNICA_43_NE40E-X8A_MVZ-GA-19</v>
          </cell>
        </row>
        <row r="63">
          <cell r="J63" t="str">
            <v>GLINA_44_NE40E-X8A_MZG-GL-19</v>
          </cell>
        </row>
        <row r="64">
          <cell r="J64" t="str">
            <v>GORNJE VRAPČE_10_MX104_CXZG-GORNJEVRAPCE</v>
          </cell>
        </row>
        <row r="65">
          <cell r="J65" t="str">
            <v>GRANEŠINA_10_MX960_MZG-GR-11</v>
          </cell>
        </row>
        <row r="66">
          <cell r="J66" t="str">
            <v>GRUBIŠNO POLJE_43_NE40E-X8A_MVZ-GP-19</v>
          </cell>
        </row>
        <row r="67">
          <cell r="J67" t="str">
            <v>GUNDULIĆEVA_10_MX960_MZG-GU-21</v>
          </cell>
        </row>
        <row r="68">
          <cell r="J68" t="str">
            <v>HRVATSKA KOSTAJNICA_44_NE40E-X8A_MZG-HK-19</v>
          </cell>
        </row>
        <row r="69">
          <cell r="J69" t="str">
            <v>HRVATSKI LESKOVAC_10_MX104_CXZG-HRVATSKILESKOVAC</v>
          </cell>
        </row>
        <row r="70">
          <cell r="J70" t="str">
            <v>HYPO CENTAR SLAVONSKA_10_SMALL_ATN910C-G_CHZG-HYPOSLAVONSKA</v>
          </cell>
        </row>
        <row r="71">
          <cell r="J71" t="str">
            <v>IMPORTANE_10_MEDIUM_ATN950D_CHZG-IMPORTANE</v>
          </cell>
        </row>
        <row r="72">
          <cell r="J72" t="str">
            <v>IVANEC_42_MEDIUM_ATN950D_CHVZ-IVANEC</v>
          </cell>
        </row>
        <row r="73">
          <cell r="J73" t="str">
            <v>IVANEC_42_MX104_CXVZ-IVANEC</v>
          </cell>
        </row>
        <row r="74">
          <cell r="J74" t="str">
            <v>IVANIĆ GRAD_10_NE40E-X8A_MZG-IG-19</v>
          </cell>
        </row>
        <row r="75">
          <cell r="J75" t="str">
            <v>IVANJA REKA_10_SMALL_ATN910C-G_CHZG-IVANJAREKA</v>
          </cell>
        </row>
        <row r="76">
          <cell r="J76" t="str">
            <v>JALŠEVEC NARTSKI_10_SMALL_ATN910C-G_CHZG-JALSEVECNARTSKI</v>
          </cell>
        </row>
        <row r="77">
          <cell r="J77" t="str">
            <v>JANKOMIR_10_MX960_MZG-JR-21</v>
          </cell>
        </row>
        <row r="78">
          <cell r="J78" t="str">
            <v>JASTREBARSKO_10_NE40E-X8A_MZG-JA-29</v>
          </cell>
        </row>
        <row r="79">
          <cell r="J79" t="str">
            <v>KANAL_10_MX960_MZG-KL-11</v>
          </cell>
        </row>
        <row r="80">
          <cell r="J80" t="str">
            <v>KAPTOL CENTAR_10_MX104_CXZG-KAPTOLCENTAR</v>
          </cell>
        </row>
        <row r="81">
          <cell r="J81" t="str">
            <v>KAŠINA_10_SMALL_ATN910C-G_CHZG-KASINA</v>
          </cell>
        </row>
        <row r="82">
          <cell r="J82" t="str">
            <v>KLANJEC_49_NE40E-X8A_MVZ-KL-19</v>
          </cell>
        </row>
        <row r="83">
          <cell r="J83" t="str">
            <v>KLINČA SELA_10_MX104_CXZG-KLINCASELA</v>
          </cell>
        </row>
        <row r="84">
          <cell r="J84" t="str">
            <v>KLOŠTAR PODRAVSKI_48_MX104_CXVZ-KLOSTARPODR</v>
          </cell>
        </row>
        <row r="85">
          <cell r="J85" t="str">
            <v>KONČAR 2_10_SMALL_ATN910C-G_CHZG-KONCAR2</v>
          </cell>
        </row>
        <row r="86">
          <cell r="J86" t="str">
            <v>KOPRIVNICA AXE_48_MX960_MVZ-KC-11</v>
          </cell>
        </row>
        <row r="87">
          <cell r="J87" t="str">
            <v>KOPRIVNICA AXE_48_MX960_MVZ-KC-12</v>
          </cell>
        </row>
        <row r="88">
          <cell r="J88" t="str">
            <v>KRAPINA_49_NE40E-X8A_MVZ-KR-19</v>
          </cell>
        </row>
        <row r="89">
          <cell r="J89" t="str">
            <v>KRAPINSKE TOPLICE_49_MX104_CXVZ-KRAPINSKETOPLICE</v>
          </cell>
        </row>
        <row r="90">
          <cell r="J90" t="str">
            <v>KRAŠIĆ_10_MX104_CXZG-KRASIC</v>
          </cell>
        </row>
        <row r="91">
          <cell r="J91" t="str">
            <v>KRIŽEVCI AXE_48_NE40E-X8A_MVZ-KZ-19</v>
          </cell>
        </row>
        <row r="92">
          <cell r="J92" t="str">
            <v>KUPLJENOVO_10_SMALL_ATN910C-G_CHZG-KUPLJENOVO</v>
          </cell>
        </row>
        <row r="93">
          <cell r="J93" t="str">
            <v>KUTINA_44_NE40E-X8A_MZG-KT-19</v>
          </cell>
        </row>
        <row r="94">
          <cell r="J94" t="str">
            <v>LAŠĆINSKA_10_MX960_MZG-LS-11</v>
          </cell>
        </row>
        <row r="95">
          <cell r="J95" t="str">
            <v>LEGRAD_48_SMALL_ATN910C-G_CHVZ-LEGRAD</v>
          </cell>
        </row>
        <row r="96">
          <cell r="J96" t="str">
            <v>LEKENIK_44_NE40E-X8A_MZG-LK-19</v>
          </cell>
        </row>
        <row r="97">
          <cell r="J97" t="str">
            <v>LEPOGLAVA_42_NE40E-X8A_MVZ-LE-19</v>
          </cell>
        </row>
        <row r="98">
          <cell r="J98" t="str">
            <v>LIPOVLJANI_44_SMALL_ATN910C-G_CHZG-LIPOVLJANI</v>
          </cell>
        </row>
        <row r="99">
          <cell r="J99" t="str">
            <v>LOPATINEC_40_SMALL_ATN910C-G_CHVZ-LOPATINEC</v>
          </cell>
        </row>
        <row r="100">
          <cell r="J100" t="str">
            <v>LUČKO_10_MEDIUM_ATN950D_CHZG-LUCKO</v>
          </cell>
        </row>
        <row r="101">
          <cell r="J101" t="str">
            <v>LUČKO_10_MX104_CXZG-LUCKO</v>
          </cell>
        </row>
        <row r="102">
          <cell r="J102" t="str">
            <v>LUDBREG_42_NE40E-X8A_MVZ-LU-19</v>
          </cell>
        </row>
        <row r="103">
          <cell r="J103" t="str">
            <v>MARTIĆEVA_10_MX960_MZG-MA-11</v>
          </cell>
        </row>
        <row r="104">
          <cell r="J104" t="str">
            <v>MARTINOVKA_10_MEDIUM_ATN950D_CHZG-MARTINOVKA</v>
          </cell>
        </row>
        <row r="105">
          <cell r="J105" t="str">
            <v>MIHALJEVAC_10_MX960_MZG-MI-21</v>
          </cell>
        </row>
        <row r="106">
          <cell r="J106" t="str">
            <v>MRACLIN_10_ACX4000_CAZG-MRACLIN</v>
          </cell>
        </row>
        <row r="107">
          <cell r="J107" t="str">
            <v>MURSKO SREDIŠĆE_40_NE40E-X8A_MVZ-MS-19</v>
          </cell>
        </row>
        <row r="108">
          <cell r="J108" t="str">
            <v>NET CITY CENTAR_10_SMALL_ATN910C-G_CHZG-OTOKNETCITY</v>
          </cell>
        </row>
        <row r="109">
          <cell r="J109" t="str">
            <v>NOVA CESTA 70_10_MX960_MZG-NC-21</v>
          </cell>
        </row>
        <row r="110">
          <cell r="J110" t="str">
            <v>NOVA VES_10_SMALL_ATN910C-G_CHZG-NOVAVES</v>
          </cell>
        </row>
        <row r="111">
          <cell r="J111" t="str">
            <v>NOVI MAROF_42_NE40E-X8A_MVZ-NM-19</v>
          </cell>
        </row>
        <row r="112">
          <cell r="J112" t="str">
            <v>NOVO ČIČE_10_MX104_CXZG-NOVOCICE</v>
          </cell>
        </row>
        <row r="113">
          <cell r="J113" t="str">
            <v>NOVSKA_44_NE40E-X8A_MZG-NO-19</v>
          </cell>
        </row>
        <row r="114">
          <cell r="J114" t="str">
            <v>ODRA_10_SMALL_ATN910C-G_CHZG-ODRA</v>
          </cell>
        </row>
        <row r="115">
          <cell r="J115" t="str">
            <v>PEŠĆENICA_10_MX960_MZG-PE-11</v>
          </cell>
        </row>
        <row r="116">
          <cell r="J116" t="str">
            <v>PETRINJA_44_NE40E-X8A_MZG-PT-19</v>
          </cell>
        </row>
        <row r="117">
          <cell r="J117" t="str">
            <v>PODSUSED 2_10_MEDIUM_ATN950D_CHZG-PODSUSED2</v>
          </cell>
        </row>
        <row r="118">
          <cell r="J118" t="str">
            <v>PODSUSED 2_10_MX104_CXZG-PODSUSED</v>
          </cell>
        </row>
        <row r="119">
          <cell r="J119" t="str">
            <v>POKUPSKO_10_NE40E-X8A_MZG-PK-19</v>
          </cell>
        </row>
        <row r="120">
          <cell r="J120" t="str">
            <v>POLJANICE_10_MX104_CXZG-POLJANICE</v>
          </cell>
        </row>
        <row r="121">
          <cell r="J121" t="str">
            <v>POPOVAČA_44_NE40E-X8A_MZG-PO-19</v>
          </cell>
        </row>
        <row r="122">
          <cell r="J122" t="str">
            <v>PREČKO_10_MX960_MZG-PR-21</v>
          </cell>
        </row>
        <row r="123">
          <cell r="J123" t="str">
            <v>PREGRADA_49_NE40E-X8A_MVZ-PG-19</v>
          </cell>
        </row>
        <row r="124">
          <cell r="J124" t="str">
            <v>PRELOG_40_MX960_MVZ-PR-11</v>
          </cell>
        </row>
        <row r="125">
          <cell r="J125" t="str">
            <v>PRERADOVIĆEV TRG 3_10_MEDIUM_ATN950D_CHZG-PRERADOVICEVTRG</v>
          </cell>
        </row>
        <row r="126">
          <cell r="J126" t="str">
            <v>PRESEKA_10_ACX4000_CAZG-PRESEKA</v>
          </cell>
        </row>
        <row r="127">
          <cell r="J127" t="str">
            <v>RAKITJE_10_MX104_CXZG-RAKITJE</v>
          </cell>
        </row>
        <row r="128">
          <cell r="J128" t="str">
            <v>RAKOV POTOK_10_NE40E-X8A_MZG-RP-19</v>
          </cell>
        </row>
        <row r="129">
          <cell r="J129" t="str">
            <v>RANŽIRNI KOLODVOR_10_MX104_CXZG-RANZIRNIKOLODVOR</v>
          </cell>
        </row>
        <row r="130">
          <cell r="J130" t="str">
            <v>RAVNICE_10_ACX4000_CAZG-RAVNICE</v>
          </cell>
        </row>
        <row r="131">
          <cell r="J131" t="str">
            <v>REMETE 2_10_BIG_ATN980C-DC_CHZG-REMETE</v>
          </cell>
        </row>
        <row r="132">
          <cell r="J132" t="str">
            <v>RUDEŠ 2_10_MX960_MZG-RU-21</v>
          </cell>
        </row>
        <row r="133">
          <cell r="J133" t="str">
            <v>SAMOBOR_10_NE40E-X8A_MZG-SA-29</v>
          </cell>
        </row>
        <row r="134">
          <cell r="J134" t="str">
            <v>SELSKO BRDO_10_MX104_CXZG-SELSKOBRDO</v>
          </cell>
        </row>
        <row r="135">
          <cell r="J135" t="str">
            <v>SESVETE_10_NE40E-X8A_MZG-SS-29</v>
          </cell>
        </row>
        <row r="136">
          <cell r="J136" t="str">
            <v>SESVETE_10_MX960_MZG-SS-21</v>
          </cell>
        </row>
        <row r="137">
          <cell r="J137" t="str">
            <v>SESVETSKI KRALJEVEC_10_MX104_CXZG-SESVETSKIKRALJEVEC</v>
          </cell>
        </row>
        <row r="138">
          <cell r="J138" t="str">
            <v>SIGEČICA ZAPAD_10_SMALL_ATN910C-G_CHZG-SIGECICAZAPAD</v>
          </cell>
        </row>
        <row r="139">
          <cell r="J139" t="str">
            <v>SIGETEC_48_MX104_CXVZ-SIGETEC</v>
          </cell>
        </row>
        <row r="140">
          <cell r="J140" t="str">
            <v>SISAK VIKTOROVAC_44_NE40E-X8A_MZG-VK-19</v>
          </cell>
        </row>
        <row r="141">
          <cell r="J141" t="str">
            <v>SISAK_44_MX960_MZG-SK-11</v>
          </cell>
        </row>
        <row r="142">
          <cell r="J142" t="str">
            <v>SISAK_44_MX960_MZG-SK-12</v>
          </cell>
        </row>
        <row r="143">
          <cell r="J143" t="str">
            <v>SLOBOŠTINA_10_ACX4000_CAZG-SLOBOSTINA</v>
          </cell>
        </row>
        <row r="144">
          <cell r="J144" t="str">
            <v>SLOBOŠTINA_10_ACX4000_CAZG-SLOBOSTINA2</v>
          </cell>
        </row>
        <row r="145">
          <cell r="J145" t="str">
            <v>SREDIŠĆE_10_SMALL_ATN910C-G_CHZG-SREDISCE</v>
          </cell>
        </row>
        <row r="146">
          <cell r="J146" t="str">
            <v>STADION MAKSIMIR_10_MX104_CXZG-STADIONMAKSIMIR</v>
          </cell>
        </row>
        <row r="147">
          <cell r="J147" t="str">
            <v>STAZA_44_NE40E-X8A_MZG-SZ-19</v>
          </cell>
        </row>
        <row r="148">
          <cell r="J148" t="str">
            <v>STROJARSKA_10_SMALL_ATN910C-G_CHZG-STROJARSKA</v>
          </cell>
        </row>
        <row r="149">
          <cell r="J149" t="str">
            <v>STUPNIK_10_SMALL_ATN910C-G_CHZG-STUPNIK</v>
          </cell>
        </row>
        <row r="150">
          <cell r="J150" t="str">
            <v>SUPERNOVA_10_SMALL_ATN910C-G_CHZG-SUPERNOVA</v>
          </cell>
        </row>
        <row r="151">
          <cell r="J151" t="str">
            <v>SVETA NEDELJA_10_MX960_MZG-SN-21</v>
          </cell>
        </row>
        <row r="152">
          <cell r="J152" t="str">
            <v>SVETA NEDELJA_10_SMALL_ATN910C-G_CHZG-SVETANEDELJA</v>
          </cell>
        </row>
        <row r="153">
          <cell r="J153" t="str">
            <v>ŠĆITARJEVO_10_MEDIUM_ATN950D_CHZG-SCITARJEVO</v>
          </cell>
        </row>
        <row r="154">
          <cell r="J154" t="str">
            <v>ŠENKOVEC_10_MX104_CXZG-SENKOVEC</v>
          </cell>
        </row>
        <row r="155">
          <cell r="J155" t="str">
            <v>T-MOBILE BP DEMERJE_10_ACX1000_CAZG-DEMERJE</v>
          </cell>
        </row>
        <row r="156">
          <cell r="J156" t="str">
            <v>TORANJ SLJEME_10_MEDIUM_ATN950D_CHZG-TORANJSLJEME</v>
          </cell>
        </row>
        <row r="157">
          <cell r="J157" t="str">
            <v>TREŠNJEVKA_10_NE40E-X8A_MZG-TE-29</v>
          </cell>
        </row>
        <row r="158">
          <cell r="J158" t="str">
            <v>TREŠNJEVKA_10_MX960_MZG-TE-21</v>
          </cell>
        </row>
        <row r="159">
          <cell r="J159" t="str">
            <v>TREŠNJEVKA_10_ACX1000_CAZG-TRESNJEVKA</v>
          </cell>
        </row>
        <row r="160">
          <cell r="J160" t="str">
            <v>TRGOVAČKI CENTAR LUMINI_42_SMALL_ATN910C-G_CHZG-UPS-LUMINI</v>
          </cell>
        </row>
        <row r="161">
          <cell r="J161" t="str">
            <v>TRNSKO_10_NE40E-X8A_MZG-TN-19</v>
          </cell>
        </row>
        <row r="162">
          <cell r="J162" t="str">
            <v>TRNSKO_10_MX960_MZG-TN-11</v>
          </cell>
        </row>
        <row r="163">
          <cell r="J163" t="str">
            <v>TRNJE_10_MX960_MZG-TR-11</v>
          </cell>
        </row>
        <row r="164">
          <cell r="J164" t="str">
            <v>TRNJE_10_MX960_MZG-TR-21</v>
          </cell>
        </row>
        <row r="165">
          <cell r="J165" t="str">
            <v>TRNJE_10_ACX4000_CAZG-TRNJE</v>
          </cell>
        </row>
        <row r="166">
          <cell r="J166" t="str">
            <v>TUNEL VIDOVCI_49_MX104_CXVZ-TUNELVIDOVCI</v>
          </cell>
        </row>
        <row r="167">
          <cell r="J167" t="str">
            <v>UKV TORANJ MIROGOJ_10_MX104_CXZG-TORANJMIROGOJ</v>
          </cell>
        </row>
        <row r="168">
          <cell r="J168" t="str">
            <v>UTRINA_10_MX960_MZG-UT-11</v>
          </cell>
        </row>
        <row r="169">
          <cell r="J169" t="str">
            <v>UTRINA_10_MX960_MZG-UT-12</v>
          </cell>
        </row>
        <row r="170">
          <cell r="J170" t="str">
            <v>UTRINA_10_ACX4000_CAZG-UTRINE</v>
          </cell>
        </row>
        <row r="171">
          <cell r="J171" t="str">
            <v>VARAŽDIN ISTOK_42_MEDIUM_ATN950D_CHVZ-VARAZDINISTOK</v>
          </cell>
        </row>
        <row r="172">
          <cell r="J172" t="str">
            <v>VARAŽDIN TKC OPTUJSKA_42_MX960_MVZ-OP-11</v>
          </cell>
        </row>
        <row r="173">
          <cell r="J173" t="str">
            <v>VARAŽDIN TKC_42_NE40E-X8A_MVZ-TS-19</v>
          </cell>
        </row>
        <row r="174">
          <cell r="J174" t="str">
            <v>VARAŽDIN TKC_42_MX960_MVZ-TS-11</v>
          </cell>
        </row>
        <row r="175">
          <cell r="J175" t="str">
            <v>VELIKA GORICA_10_MX960_MZG-VG-21</v>
          </cell>
        </row>
        <row r="176">
          <cell r="J176" t="str">
            <v>VELIKA GORICA_10_MX960_MZG-VG-22</v>
          </cell>
        </row>
        <row r="177">
          <cell r="J177" t="str">
            <v>VELIKA MLAKA_10_MX104_CXZG-VELIKAMLAKA</v>
          </cell>
        </row>
        <row r="178">
          <cell r="J178" t="str">
            <v>VELIKI ZDENCI_43_MEDIUM_ATN950D_CHVZ-VELIKIZDENCI</v>
          </cell>
        </row>
        <row r="179">
          <cell r="J179" t="str">
            <v>VELIKO POLJE_10_ACX4000_CAZG-VELIKOPOLJE</v>
          </cell>
        </row>
        <row r="180">
          <cell r="J180" t="str">
            <v>VINICA_42_NE40E-X8A_MVZ-VI-19</v>
          </cell>
        </row>
        <row r="181">
          <cell r="J181" t="str">
            <v>VJESNIK_10_MX960_MZG-VJ-21</v>
          </cell>
        </row>
        <row r="182">
          <cell r="J182" t="str">
            <v>VRAPČE_10_MX960_MZG-VR-21</v>
          </cell>
        </row>
        <row r="183">
          <cell r="J183" t="str">
            <v>VRBOVEC_10_NE40E-X8A_MZG-VB-19</v>
          </cell>
        </row>
        <row r="184">
          <cell r="J184" t="str">
            <v>ZABOK_49_NE40E-X8A_MVZ-ZK-19</v>
          </cell>
        </row>
        <row r="185">
          <cell r="J185" t="str">
            <v>ZAGORSKA_10_SMALL_ATN910C-G_CHZG-ZAGORSKA</v>
          </cell>
        </row>
        <row r="186">
          <cell r="J186" t="str">
            <v>ZAGREBTOWER_10_SMALL_ATN910C-G_CHZG-ZAGREBTOWER</v>
          </cell>
        </row>
        <row r="187">
          <cell r="J187" t="str">
            <v>ZAGREPČANKA_10_MX960_MZG-ZG-21</v>
          </cell>
        </row>
        <row r="188">
          <cell r="J188" t="str">
            <v>ZAPREŠIĆ_10_MX960_MZG-ZA-21</v>
          </cell>
        </row>
        <row r="189">
          <cell r="J189" t="str">
            <v>ZELINA_10_NE40E-X8A_MVZ-ZE-19</v>
          </cell>
        </row>
        <row r="190">
          <cell r="J190" t="str">
            <v>ZLATAR BISTRICA_49_NE40E-X8A_MVZ-ZB-19</v>
          </cell>
        </row>
        <row r="191">
          <cell r="J191" t="str">
            <v>ZLATAR_49_SMALL_ATN910C-G_CHVZ-ZLATAR</v>
          </cell>
        </row>
        <row r="192">
          <cell r="J192" t="str">
            <v>ŽITNJAK_10_MX960_MZG-ZI-11</v>
          </cell>
        </row>
        <row r="195">
          <cell r="J195" t="str">
            <v>DC SELSKA 122 - CTE21</v>
          </cell>
        </row>
        <row r="196">
          <cell r="J196" t="str">
            <v>DC SELSKA 122 - CTE22</v>
          </cell>
        </row>
        <row r="197">
          <cell r="J197" t="str">
            <v>DC SELSKA 122 - CTE25</v>
          </cell>
        </row>
        <row r="198">
          <cell r="J198" t="str">
            <v>DC SELSKA 122 - CTE26</v>
          </cell>
        </row>
        <row r="199">
          <cell r="J199" t="str">
            <v>DC SELSKA 122 - CTE27</v>
          </cell>
        </row>
        <row r="200">
          <cell r="J200" t="str">
            <v>DC SELSKA 122 - CTE28</v>
          </cell>
        </row>
        <row r="201">
          <cell r="J201" t="str">
            <v>DC SELSKA 122 - CMZG-HP-SELSKA</v>
          </cell>
        </row>
        <row r="203">
          <cell r="J203" t="str">
            <v>DC SELSKA 93 - CMZG-DATACENTAR-ALTUS</v>
          </cell>
        </row>
        <row r="204">
          <cell r="J204" t="str">
            <v>DC SELSKA 93 - CMZG-DATACENTAR-ALTUS1</v>
          </cell>
        </row>
        <row r="205">
          <cell r="J205" t="str">
            <v>DC ČABDIN 73 - CZG-JA-01</v>
          </cell>
        </row>
        <row r="206">
          <cell r="J206" t="str">
            <v>DC ČABDIN 73 - CZG-JA-02</v>
          </cell>
        </row>
        <row r="207">
          <cell r="J207" t="str">
            <v>DC ČABDIN 73 - CMZG-DATACROSS-JASTREBARSKO</v>
          </cell>
        </row>
        <row r="209">
          <cell r="J209" t="str">
            <v>DC VZ OPTUJSKA 82 - CVZ23</v>
          </cell>
        </row>
        <row r="210">
          <cell r="J210" t="str">
            <v>DC VZ OPTUJSKA 82 - CVZ24</v>
          </cell>
        </row>
        <row r="213">
          <cell r="J213" t="str">
            <v>ALBRECHTOVA 42 _10_ CMZG-MINFIN-ALBRE</v>
          </cell>
        </row>
        <row r="214">
          <cell r="J214" t="str">
            <v>BANI 75 B _10_ CMZG-MEGATREND-DC</v>
          </cell>
        </row>
        <row r="215">
          <cell r="J215" t="str">
            <v>BANI 75 B _10_ CMZG-MEGATREND-DC-KB</v>
          </cell>
        </row>
        <row r="216">
          <cell r="J216" t="str">
            <v>BERISLAVIĆA PETRA 1 _44_ CMZG-MUP-OLUJADUBICA</v>
          </cell>
        </row>
        <row r="217">
          <cell r="J217" t="str">
            <v>BOŠKOVIĆA JOSIPA RUĐERA 5 _10_ CMZG-MINFIN-BOSKO1</v>
          </cell>
        </row>
        <row r="218">
          <cell r="J218" t="str">
            <v>BOŠKOVIĆA RUĐERA 54 _43_ CMZG-SIRAC-KAMEN</v>
          </cell>
        </row>
        <row r="219">
          <cell r="J219" t="str">
            <v>BRAĆE KRAJANSKI 18 _42_ CMZG-MINFIN-VARAZDIN</v>
          </cell>
        </row>
        <row r="220">
          <cell r="J220" t="str">
            <v>BRANIMIRA KNEZA 29 _10_ CMZG-WETTPUNKT-BRANIMIROVA</v>
          </cell>
        </row>
        <row r="221">
          <cell r="J221" t="str">
            <v>BRAT.ZAJED. HRVATSKE 4 _10_ CMZG-HRT-NSK</v>
          </cell>
        </row>
        <row r="222">
          <cell r="J222" t="str">
            <v>BREZJANSKI PUT 33 _10_ CMZG-PRINTGRUPA-SVETANEDJELJA</v>
          </cell>
        </row>
        <row r="223">
          <cell r="J223" t="str">
            <v>CAPRAŠKA 6 _10_ CMZG-CVH-CAPRASKA</v>
          </cell>
        </row>
        <row r="224">
          <cell r="J224" t="str">
            <v>CESARCA AUGUSTA 18 _42_ CMZG-MUP-VARAZDIN</v>
          </cell>
        </row>
        <row r="225">
          <cell r="J225" t="str">
            <v>ČABDIN 73 _10_ CMZG-DATACROSS-JASTREBARSKO</v>
          </cell>
        </row>
        <row r="226">
          <cell r="J226" t="str">
            <v>ČAVIĆA MARIJANA 1 A _10_ CMZG-KONZUM-CAVICA</v>
          </cell>
        </row>
        <row r="227">
          <cell r="J227" t="str">
            <v>ČERININA 23 _10_ CMZG-MORH-CERININA</v>
          </cell>
        </row>
        <row r="228">
          <cell r="J228" t="str">
            <v>DONJE SVETICE 38 _10_ CMZG-MZIO-DONJESVETICE</v>
          </cell>
        </row>
        <row r="229">
          <cell r="J229" t="str">
            <v>DRAŠKOVIĆEVA 26 _10_ CMZG-DRASKOVICEVA</v>
          </cell>
        </row>
        <row r="230">
          <cell r="J230" t="str">
            <v>DUBROVNIK AV. 11 _10_ CMZG-MINFINANCIJA</v>
          </cell>
        </row>
        <row r="231">
          <cell r="J231" t="str">
            <v>DUBROVNIK AV. 16 _10_ CMZG-TDR-ZAGREB</v>
          </cell>
        </row>
        <row r="232">
          <cell r="J232" t="str">
            <v>DUBROVNIK AV. 32 _10_ CMZG-MINFIN-AVDUBR</v>
          </cell>
        </row>
        <row r="233">
          <cell r="J233" t="str">
            <v>DUBROVNIK AV. 32_DR (garaža) _10_ CMZG-MINFIN-AVDUBR-DR</v>
          </cell>
        </row>
        <row r="234">
          <cell r="J234" t="str">
            <v>ETANSKA CESTA 8 _10_ CMZG-PETEKTOURS-IVANIC-GRAD</v>
          </cell>
        </row>
        <row r="235">
          <cell r="J235" t="str">
            <v>GAJA LJUDEVITA 2 _49_ CMZG-AKROMION</v>
          </cell>
        </row>
        <row r="236">
          <cell r="J236" t="str">
            <v>GJALSKOG 1 KSAVERA ŠANDORA _49_ CMZG-ZAGORSKI-VODOVOD</v>
          </cell>
        </row>
        <row r="237">
          <cell r="J237" t="str">
            <v>GOLUBOVEČKA 85 _49_ CMZG-NGHREN-GOLUBOVECKA</v>
          </cell>
        </row>
        <row r="238">
          <cell r="J238" t="str">
            <v>GOTOVCA JAKOVA 7 _40_ CMZG-MUP-CAKOVEC</v>
          </cell>
        </row>
        <row r="239">
          <cell r="J239" t="str">
            <v>GOTOVCA JAKOVA 7 _40_ CMZG-MUP-CKGOTOVCA</v>
          </cell>
        </row>
        <row r="240">
          <cell r="J240" t="str">
            <v>GRABERJE 1 _42_ CMZG-MINFIN-VZ2</v>
          </cell>
        </row>
        <row r="241">
          <cell r="J241" t="str">
            <v>GRADNA 78A _10_ CMZG-KLIMA-SAMOBOR</v>
          </cell>
        </row>
        <row r="242">
          <cell r="J242" t="str">
            <v>GRKAVEŠČAK 28 A _40_ CMZG-TOPLICESVMARTIN</v>
          </cell>
        </row>
        <row r="243">
          <cell r="J243" t="str">
            <v>GUNDULIĆA IVANA 1 _43_ CMZG-DUZIS-BJ</v>
          </cell>
        </row>
        <row r="244">
          <cell r="J244" t="str">
            <v>GUNDULIĆA IVANA 1 _43_ CMZG-MORH-GUNDULICA</v>
          </cell>
        </row>
        <row r="245">
          <cell r="J245" t="str">
            <v>GUPCA MATIJE 53 _49_ CMZG-MUP-ZABOK</v>
          </cell>
        </row>
        <row r="246">
          <cell r="J246" t="str">
            <v>HARAMBAŠIĆEVA 39 _10_ CMZG-HARAMBASICEVA-HT</v>
          </cell>
        </row>
        <row r="247">
          <cell r="J247" t="str">
            <v>HEINZELOVA 70 _10_ CMZG-ALLIANZ</v>
          </cell>
        </row>
        <row r="248">
          <cell r="J248" t="str">
            <v>HEINZELOVA 70 _10_ CMZG-ALLIANZ-MIROV-FOND</v>
          </cell>
        </row>
        <row r="249">
          <cell r="J249" t="str">
            <v>HEINZELOVA 88 _10_ CMZG-HITNA-ZAGREB</v>
          </cell>
        </row>
        <row r="250">
          <cell r="J250" t="str">
            <v>HOLJEVCA VEĆESLAVA AV. 10 _10_ CMZG-INA-HOLJEVCA</v>
          </cell>
        </row>
        <row r="251">
          <cell r="J251" t="str">
            <v>HORVATOVA 35 B _10_ CMZG-VISIO-PULS</v>
          </cell>
        </row>
        <row r="252">
          <cell r="J252" t="str">
            <v>HRVATSKE DRŽAVNOSTI 7 _48_ CMZG-MUP-KOPRIVNICA</v>
          </cell>
        </row>
        <row r="253">
          <cell r="J253" t="str">
            <v>ILICA 224 _10_ CMZG-ZAGREBACKA-PIVOVARA-ILICA</v>
          </cell>
        </row>
        <row r="254">
          <cell r="J254" t="str">
            <v>ILICA 256B _10_ CMZG-MORH-ILICA</v>
          </cell>
        </row>
        <row r="255">
          <cell r="J255" t="str">
            <v>INDUSTRIJSKA ZONA 0 BB _10_ CMZG-KAUFLAND-JASKA-BACKUP</v>
          </cell>
        </row>
        <row r="256">
          <cell r="J256" t="str">
            <v>INDUSTRIJSKA ZONA 0 BB _10_ CMZG-KAUFLAND-JASKA-PRIMAR</v>
          </cell>
        </row>
        <row r="257">
          <cell r="J257" t="str">
            <v>JEŽDOVEČKA 88 _10_ CMZG-MORH-LUCKO</v>
          </cell>
        </row>
        <row r="258">
          <cell r="J258" t="str">
            <v>JURIŠIĆA NIKOLE 2 _10_ CMZG-STBANKA-JURISICEVA</v>
          </cell>
        </row>
        <row r="259">
          <cell r="J259" t="str">
            <v>JURIŠIĆA NIKOLE 4 _10_ CMZG-HPBJURISICEVA</v>
          </cell>
        </row>
        <row r="260">
          <cell r="J260" t="str">
            <v>KAPTOL 25 _10_ CMZG-VIATEL-KAPTOL</v>
          </cell>
        </row>
        <row r="261">
          <cell r="J261" t="str">
            <v>KOLODVORSKA 12 A _48_ CMZG-MINFIN-KOPRIV</v>
          </cell>
        </row>
        <row r="262">
          <cell r="J262" t="str">
            <v>KOMBOLOVA 2 _10_ CMZG-HTUT</v>
          </cell>
        </row>
        <row r="263">
          <cell r="J263" t="str">
            <v>KOVAČIĆA ANTE 1 _44_ CMZG-INA-CAPRAG</v>
          </cell>
        </row>
        <row r="264">
          <cell r="J264" t="str">
            <v>KOVAČIĆA ANTE 10 _44_ CMZG-MUP-SISAK2</v>
          </cell>
        </row>
        <row r="265">
          <cell r="J265" t="str">
            <v>KOVINSKA 4A _10_ CMZG-ARENA-SPORT</v>
          </cell>
        </row>
        <row r="266">
          <cell r="J266" t="str">
            <v>KOVINSKA 4A _10_ CMZG-ARENASPORT3</v>
          </cell>
        </row>
        <row r="267">
          <cell r="J267" t="str">
            <v>KOVINSKA 4A _10_ CMZG-ARENASPORT4</v>
          </cell>
        </row>
        <row r="268">
          <cell r="J268" t="str">
            <v>KRAPINSKA 45 _10_ CMZG-ERICSSON</v>
          </cell>
        </row>
        <row r="269">
          <cell r="J269" t="str">
            <v>KRAPINSKA 45 _10_ CMZG-ERICSSON-ZG</v>
          </cell>
        </row>
        <row r="270">
          <cell r="J270" t="str">
            <v>KRAPINSKA 45 _10_ CMZG-RTL-KRAPINSKA</v>
          </cell>
        </row>
        <row r="271">
          <cell r="J271" t="str">
            <v>KREŠIMIRA IV 2 KRALJA PETRA _44_ CMZG-MUP-KUTINA</v>
          </cell>
        </row>
        <row r="272">
          <cell r="J272" t="str">
            <v>KSAVERSKA CESTA 109 _10_ CMZG-DUZIS-KSAVER</v>
          </cell>
        </row>
        <row r="273">
          <cell r="J273" t="str">
            <v>KUKULJEVIĆA SAKCINSKOG 26 IVANA _44_ CMZG-DUZIS-SISAK</v>
          </cell>
        </row>
        <row r="274">
          <cell r="J274" t="str">
            <v>KUNIŠČAK 40 _10_ CMZG-MUP-ZAGREB</v>
          </cell>
        </row>
        <row r="275">
          <cell r="J275" t="str">
            <v>KUNIŠČAK 40 _10_ CMZG-MUP-ZAGREB2</v>
          </cell>
        </row>
        <row r="276">
          <cell r="J276" t="str">
            <v>LONČARA JOSIPA 0 BB _10_ CMZG-MORH-JLONCARA</v>
          </cell>
        </row>
        <row r="277">
          <cell r="J277" t="str">
            <v>LOVINČIĆEVA 4 _10_ CMZG-PLAVI-TIM</v>
          </cell>
        </row>
        <row r="278">
          <cell r="J278" t="str">
            <v>LUČIĆA IVANA 2A _10_ CMZG-ERSTE-LUCICA</v>
          </cell>
        </row>
        <row r="279">
          <cell r="J279" t="str">
            <v>MAGAZINSKA CESTA 69 _10_ CMZG-RBAMAGA1</v>
          </cell>
        </row>
        <row r="280">
          <cell r="J280" t="str">
            <v>MAJSTORSKA 5 _10_ CMZG-SKVID-MAJSTORSKA</v>
          </cell>
        </row>
        <row r="281">
          <cell r="J281" t="str">
            <v>MANDLA DRAGUTINA 7 _10_ CMZG-MEDIKOL-MANDLOVA</v>
          </cell>
        </row>
        <row r="282">
          <cell r="J282" t="str">
            <v>MAROHNIĆA JOSIPA 5 _10_ CMZG-SRCE</v>
          </cell>
        </row>
        <row r="283">
          <cell r="J283" t="str">
            <v>MAROHNIĆA JOSIPA 5 _10_ CMZG-SRCE2</v>
          </cell>
        </row>
        <row r="284">
          <cell r="J284" t="str">
            <v>MATICE HRVATSKE 6 _40_ CMZG-HYPO-CAKOVEC</v>
          </cell>
        </row>
        <row r="285">
          <cell r="J285" t="str">
            <v>METALSKA 2 _42_ CMZG-MIV-VARAZDIN</v>
          </cell>
        </row>
        <row r="286">
          <cell r="J286" t="str">
            <v>MIHALJEKOV JAREK 0 _49_ CMZG-MUP-JAREK-KRAPINA</v>
          </cell>
        </row>
        <row r="287">
          <cell r="J287" t="str">
            <v>MIHANOVIĆA 9 - FRANGEŠA ROBERTA _10_ CMZG-INTERSAT-FMIHANO</v>
          </cell>
        </row>
        <row r="288">
          <cell r="J288" t="str">
            <v>MILČETIĆA IVANA 12 _42_ CMZG-MUP-VARAZDIN2</v>
          </cell>
        </row>
        <row r="289">
          <cell r="J289" t="str">
            <v>MIRAMARSKA CESTA 24 _10_ CMZG-VALAMAR-MIRAMARSKA</v>
          </cell>
        </row>
        <row r="290">
          <cell r="J290" t="str">
            <v>MIŠKINE 64 A MIHOVILA PAVLEKA _42_ CMZG-SZAKALMETAL</v>
          </cell>
        </row>
        <row r="291">
          <cell r="J291" t="str">
            <v>MORANDINIJA VALENTA 37 _40_ CMZG-INTESA-CAKOVEC</v>
          </cell>
        </row>
        <row r="292">
          <cell r="J292" t="str">
            <v>MORANDINIJA VALENTA 37 _40_ CMZG-MEBACAKOVEC2</v>
          </cell>
        </row>
        <row r="293">
          <cell r="J293" t="str">
            <v>NAFTAPLINSKA 10 _44_ CMZG-PODZ-SKLADPLIN</v>
          </cell>
        </row>
        <row r="294">
          <cell r="J294" t="str">
            <v>NAZORA VLADIMIRA 18 _40_ CMZG-MEDIKOL-CAKOVEC-VLNAZORA</v>
          </cell>
        </row>
        <row r="295">
          <cell r="J295" t="str">
            <v>NEHAJSKA 5 _10_ CMZG-MUP-NEHAJSKA</v>
          </cell>
        </row>
        <row r="296">
          <cell r="J296" t="str">
            <v>NOVAČIĆA MILANA 10 _43_ CMZG-CAZMATRANS-BJ</v>
          </cell>
        </row>
        <row r="297">
          <cell r="J297" t="str">
            <v>OPATIČKA 1 _10_ CMZG-MINPRAV-OPATICKA</v>
          </cell>
        </row>
        <row r="298">
          <cell r="J298" t="str">
            <v>OPATIČKA 1 A _48_ CMZG-PODR-BANKA1</v>
          </cell>
        </row>
        <row r="299">
          <cell r="J299" t="str">
            <v>OPTUJSKA 66 _42_ CMZG-MORH-VARAZDIN</v>
          </cell>
        </row>
        <row r="300">
          <cell r="J300" t="str">
            <v>OZALJSKA 91 _10_ CMZG-HT-SUUIPK</v>
          </cell>
        </row>
        <row r="301">
          <cell r="J301" t="str">
            <v>PALJETKA VLAHE 2 _43_ CMZG-MUP-BJELOVAR</v>
          </cell>
        </row>
        <row r="302">
          <cell r="J302" t="str">
            <v>PALJETKA VLAHE 2 _43_ CMZG-MUP-PALJETKA</v>
          </cell>
        </row>
        <row r="303">
          <cell r="J303" t="str">
            <v>PALJETKOVA 18 _10_ CMZG-APIS-ZONAA</v>
          </cell>
        </row>
        <row r="304">
          <cell r="J304" t="str">
            <v>PALJETKOVA 18 _10_ CMZG-APIS-ZONAB</v>
          </cell>
        </row>
        <row r="305">
          <cell r="J305" t="str">
            <v>PANTOVČAK 241 _10_ CMZG-PANTOVCAK</v>
          </cell>
        </row>
        <row r="306">
          <cell r="J306" t="str">
            <v>PANTOVČAK 241 A _10_ CMZG-MORH-PANTOVCAK</v>
          </cell>
        </row>
        <row r="307">
          <cell r="J307" t="str">
            <v>PLANINSKA 2 _10_ CMZG-H1-ZAGREB</v>
          </cell>
        </row>
        <row r="308">
          <cell r="J308" t="str">
            <v>PLESO 0 4 _10_ CMZG-MORH-PLESO</v>
          </cell>
        </row>
        <row r="309">
          <cell r="J309" t="str">
            <v>PODVORNICA 0 _10_ CMZG-MORH-KRAVARSKO</v>
          </cell>
        </row>
        <row r="310">
          <cell r="J310" t="str">
            <v>POLOŽNICA 9 _10_ CMZG-GEBRUDERWEISS-SVNEDELJA</v>
          </cell>
        </row>
        <row r="311">
          <cell r="J311" t="str">
            <v>POSAVSKOG KNEZA LJUDEVITA 53 _10_ CMZG-LIDL-VG</v>
          </cell>
        </row>
        <row r="312">
          <cell r="J312" t="str">
            <v>POŠTANSKA 9 _10_ CMZG-POSTA-VG</v>
          </cell>
        </row>
        <row r="313">
          <cell r="J313" t="str">
            <v>PRERADOVIĆA PETRA 2 _43_ CMZG-ERSTEBJ</v>
          </cell>
        </row>
        <row r="314">
          <cell r="J314" t="str">
            <v>PREŠERNA FRANCE 0 BB _40_ CMZG-MEDIKOL-CAKOVEC-FPRESERNA</v>
          </cell>
        </row>
        <row r="315">
          <cell r="J315" t="str">
            <v>PRISAVLJE 3 _10_ CMZG-HRTPRIS</v>
          </cell>
        </row>
        <row r="316">
          <cell r="J316" t="str">
            <v>PRPIĆA MILANA 114 _49_ CMZG-NETERRA-OROSLAVJE</v>
          </cell>
        </row>
        <row r="317">
          <cell r="J317" t="str">
            <v>PRUDNIČKA CESTA 54 _10_ CMZG-PLIVA-PRUDNICE</v>
          </cell>
        </row>
        <row r="318">
          <cell r="J318" t="str">
            <v>RADIĆA 2 STJEPANA I ANTUNA _44_ CMZG-VIPNET-SISAK</v>
          </cell>
        </row>
        <row r="319">
          <cell r="J319" t="str">
            <v>RADIĆA 30 STJEPANA I ANTUNA _44_ CMZG-MINFIN-SISAK2</v>
          </cell>
        </row>
        <row r="320">
          <cell r="J320" t="str">
            <v>RADNIČKA CESTA 42 _10_ CMZG-PBZRAD</v>
          </cell>
        </row>
        <row r="321">
          <cell r="J321" t="str">
            <v>RADNIČKA CESTA 47 _10_ CMZG-UNION-NET</v>
          </cell>
        </row>
        <row r="322">
          <cell r="J322" t="str">
            <v>RADNIČKA CESTA 50 _10_ CMZG-PBZCARD-RADNICKA</v>
          </cell>
        </row>
        <row r="323">
          <cell r="J323" t="str">
            <v>RADNIČKA CESTA 50 _10_ CMZG-PODRAVSKA-BANKA</v>
          </cell>
        </row>
        <row r="324">
          <cell r="J324" t="str">
            <v>RAPSKA 41 _10_ CMZG-ALATIR-RAPSKA41</v>
          </cell>
        </row>
        <row r="325">
          <cell r="J325" t="str">
            <v>RAVNICE 48 _10_ CMZG-DHMZ-RAVNICE</v>
          </cell>
        </row>
        <row r="326">
          <cell r="J326" t="str">
            <v>REMETINEČKA CESTA 139 _10_ CMZG-NOVA-TV</v>
          </cell>
        </row>
        <row r="327">
          <cell r="J327" t="str">
            <v>RENDIĆA IVANA 7 _49_ CMZG-DUZIS-KR</v>
          </cell>
        </row>
        <row r="328">
          <cell r="J328" t="str">
            <v>RIMSKA 19 _44_ CMZG-MUP-SISAK</v>
          </cell>
        </row>
        <row r="329">
          <cell r="J329" t="str">
            <v>RIMSKA 29 _44_ CMZG-MINFIN-SISAK</v>
          </cell>
        </row>
        <row r="330">
          <cell r="J330" t="str">
            <v>RUNJANINOVA 2 _10_ CMZG-MINKULT-RUNJAN</v>
          </cell>
        </row>
        <row r="331">
          <cell r="J331" t="str">
            <v>RUŠEVJE 4 _10_ CMZG-ZAGPIVO-ZAPRESIC</v>
          </cell>
        </row>
        <row r="332">
          <cell r="J332" t="str">
            <v>SAMOBORSKA CESTA 145 _10_ CMZG-ZABA-SAMOBO2</v>
          </cell>
        </row>
        <row r="333">
          <cell r="J333" t="str">
            <v>SAMOBORSKA CESTA 145 _10_ CMZG-ZABA-SAMOBO3</v>
          </cell>
        </row>
        <row r="334">
          <cell r="J334" t="str">
            <v>SARAJEVSKA CESTA 7 _10_ CMZG-MORH-SARAJEVSKA</v>
          </cell>
        </row>
        <row r="335">
          <cell r="J335" t="str">
            <v>SAVSKA CESTA 31 _10_ CMZG-AKD-SAVSKA</v>
          </cell>
        </row>
        <row r="336">
          <cell r="J336" t="str">
            <v>SAVSKA CESTA 39 _10_ CMZG-MUP-SAVSKA</v>
          </cell>
        </row>
        <row r="337">
          <cell r="J337" t="str">
            <v>SAVSKA CESTA 39 _10_ CMZG-MUP-SAVSKA2</v>
          </cell>
        </row>
        <row r="338">
          <cell r="J338" t="str">
            <v>SAVSKA CESTA 41 _10_ CMZG-HRSUME-SAVSKA41</v>
          </cell>
        </row>
        <row r="339">
          <cell r="J339" t="str">
            <v>SAVSKA CESTA 41 _10_ CMZG-INA-SAVSKA</v>
          </cell>
        </row>
        <row r="340">
          <cell r="J340" t="str">
            <v>SAVSKA CESTA 41 _10_ CMZG-METRONET-SAVSKA</v>
          </cell>
        </row>
        <row r="341">
          <cell r="J341" t="str">
            <v>SAVSKA CESTA 62 _10_ CMZG-ZABA-SAVSKA</v>
          </cell>
        </row>
        <row r="342">
          <cell r="J342" t="str">
            <v>SAVSKI GAJ XIII 6 _10_ CMZG-NARODNE-NOVINE</v>
          </cell>
        </row>
        <row r="343">
          <cell r="J343" t="str">
            <v>SELSKA CESTA 122 _10_ CMZG-COMBIS-SELSKA</v>
          </cell>
        </row>
        <row r="344">
          <cell r="J344" t="str">
            <v>SELSKA CESTA 122 _10_ CMZG-HP-SELSKA</v>
          </cell>
        </row>
        <row r="345">
          <cell r="J345" t="str">
            <v>SELSKA CESTA 122 _10_ CMZG-SELSKA-DATACENTAR</v>
          </cell>
        </row>
        <row r="346">
          <cell r="J346" t="str">
            <v>SELSKA CESTA 93 _10_ CMZG-DATACENTAR-ALTUS</v>
          </cell>
        </row>
        <row r="347">
          <cell r="J347" t="str">
            <v>SELSKA CESTA 93 _10_ CMZG-DATACENTAR-ALTUS1</v>
          </cell>
        </row>
        <row r="348">
          <cell r="J348" t="str">
            <v>SISAČKA 39 _10_ CMZG-CVH-VELIKAGORICA</v>
          </cell>
        </row>
        <row r="349">
          <cell r="J349" t="str">
            <v>SLAVONSKA AV. 11 A _10_ CMZG-KONZUM-TISAK</v>
          </cell>
        </row>
        <row r="350">
          <cell r="J350" t="str">
            <v>SLAVONSKA AV. 11 D _10_ CMZG-CCOEAST</v>
          </cell>
        </row>
        <row r="351">
          <cell r="J351" t="str">
            <v>SLAVONSKA AV. 6 _10_ CMZG-HYPO-SLAVONSKA</v>
          </cell>
        </row>
        <row r="352">
          <cell r="J352" t="str">
            <v>SLAVONSKA CESTA 17 _43_ CMZG-MBU-BJELOVAR</v>
          </cell>
        </row>
        <row r="353">
          <cell r="J353" t="str">
            <v>SLJEME 0 /5 _10_ CMZG-MORH-SLJEME</v>
          </cell>
        </row>
        <row r="354">
          <cell r="J354" t="str">
            <v>SOBLINEČKA 55 _10_ CMZG-NTL-SOBLINEC</v>
          </cell>
        </row>
        <row r="355">
          <cell r="J355" t="str">
            <v>SREBRNJAK 136 _10_ CMZG-MUP-SREBRENJAK</v>
          </cell>
        </row>
        <row r="356">
          <cell r="J356" t="str">
            <v>STARČEVIĆA ANTE 32 _48_ CMZG-PODRKOPR</v>
          </cell>
        </row>
        <row r="357">
          <cell r="J357" t="str">
            <v>STARI HRAST 53 _10_ CMZG-MORH-RAKITJE</v>
          </cell>
        </row>
        <row r="358">
          <cell r="J358" t="str">
            <v>SVETONEDELJSKA CESTA 4 _10_ CMZG-AKD-SVNEDELJA</v>
          </cell>
        </row>
        <row r="359">
          <cell r="J359" t="str">
            <v>ŠABANA LADISLAVA 16 _10_ CMZG-MSTART-SESVETE</v>
          </cell>
        </row>
        <row r="360">
          <cell r="J360" t="str">
            <v>ŠUBIĆEVA 29 /0 _10_ CMZG-DRZ-INSPEKTORAT</v>
          </cell>
        </row>
        <row r="361">
          <cell r="J361" t="str">
            <v>ŠUŠKA GOJKA AV. 1 _10_ CMZG-CARINSKA-UPRAVA</v>
          </cell>
        </row>
        <row r="362">
          <cell r="J362" t="str">
            <v>TOPLIČKA CESTA 0 BB _49_ CMZG-SALVUS-DONJASTUBICA</v>
          </cell>
        </row>
        <row r="363">
          <cell r="J363" t="str">
            <v>TRG EUGENA KUMIČIĆA 18 _48_ CMZG-MUP-KOPRIVNICA2</v>
          </cell>
        </row>
        <row r="364">
          <cell r="J364" t="str">
            <v>TRG EUGENA KUMIČIĆA 18 _48_ CMZG-RHMUP-KOPRIVNICA</v>
          </cell>
        </row>
        <row r="365">
          <cell r="J365" t="str">
            <v>TRG EUGENA KVATERNIKA 12 _43_ CMZG-POBA-BJELOVAR</v>
          </cell>
        </row>
        <row r="366">
          <cell r="J366" t="str">
            <v>TRG JOSIPA BANA JELAČIĆA 16 _44_ CMZG-TOP-TERME-TO</v>
          </cell>
        </row>
        <row r="367">
          <cell r="J367" t="str">
            <v>TRG KAPUCINSKI 5 _42_ CMVZ-ZABAVARAZDIN</v>
          </cell>
        </row>
        <row r="368">
          <cell r="J368" t="str">
            <v>TRG KAPUCINSKI 5 _42_ CMVZ-ZABAVARAZDIN1</v>
          </cell>
        </row>
        <row r="369">
          <cell r="J369" t="str">
            <v>TRG KARDINALA ALOJZIJA STEPINCA 6 B _48_ CMZG-PODBANKA-GOLA</v>
          </cell>
        </row>
        <row r="370">
          <cell r="J370" t="str">
            <v>TRG KRALJA PETRA KREŠIMIRA IV 1 _10_ CMZG-MORH-KRESIMIRA</v>
          </cell>
        </row>
        <row r="371">
          <cell r="J371" t="str">
            <v>TRG KRALJA TOMISLAVA 11 _10_ CMZG-HRSUME-DIREKCIJA</v>
          </cell>
        </row>
        <row r="372">
          <cell r="J372" t="str">
            <v>TRG NIKOLE ZRINSKOG 7 _10_ CMZG-MVP-TRGZRINJSKI</v>
          </cell>
        </row>
        <row r="373">
          <cell r="J373" t="str">
            <v>TRG SLOBODE 2 _42_ CMZG-PODBANKA-VZ</v>
          </cell>
        </row>
        <row r="374">
          <cell r="J374" t="str">
            <v>TUŠKANAC 36 /1 _10_ CMZG-MORH-TUSKANAC</v>
          </cell>
        </row>
        <row r="375">
          <cell r="J375" t="str">
            <v>VARAŽDINSKA 116 _10_ CMZG-GLSHRVATSKA-SESVETE</v>
          </cell>
        </row>
        <row r="376">
          <cell r="J376" t="str">
            <v>VELIKA BUNA 0 _10_ CMZG-MORH-VBUNA</v>
          </cell>
        </row>
        <row r="377">
          <cell r="J377" t="str">
            <v>VELIKA PERATOVICA 103 _43_ CMOS-MORH-PERATOVICA</v>
          </cell>
        </row>
        <row r="378">
          <cell r="J378" t="str">
            <v>VINOGRADSKA CESTA 29 _10_ CMZG-MEDIKOL-VINOGRADSKA</v>
          </cell>
        </row>
        <row r="379">
          <cell r="J379" t="str">
            <v>VRAPČANSKA 0 BB _10_ CMZG-MORH-VRAPCANSKA</v>
          </cell>
        </row>
        <row r="380">
          <cell r="J380" t="str">
            <v>VRTNI PUT 0 _10_ CMZG-RBA-VRTNIPUT</v>
          </cell>
        </row>
        <row r="381">
          <cell r="J381" t="str">
            <v>VRTNI PUT 0 _10_ CMZG-VIPNET-ZITN</v>
          </cell>
        </row>
        <row r="382">
          <cell r="J382" t="str">
            <v>VUKOVARA GRADA 23 _10_ CMZG-HT-PRODUKCIJA</v>
          </cell>
        </row>
        <row r="383">
          <cell r="J383" t="str">
            <v>VUKOVARA GRADA 238 _10_ CMZG-MAZDA-JURKOVIC</v>
          </cell>
        </row>
        <row r="384">
          <cell r="J384" t="str">
            <v>VUKOVARA GRADA 269D _10_ CMZG-METRONET-VMD</v>
          </cell>
        </row>
        <row r="385">
          <cell r="J385" t="str">
            <v>VUKOVARA GRADA 269D _10_ CMZG-TELE2-VUKOVARSKA</v>
          </cell>
        </row>
        <row r="386">
          <cell r="J386" t="str">
            <v>VUKOVARA GRADA 284 _10_ CMZG-KONZUM-VUKOVARS</v>
          </cell>
        </row>
        <row r="387">
          <cell r="J387" t="str">
            <v>VUKOVARA GRADA 284 _10_ CMZG-MERITUS-PLUS</v>
          </cell>
        </row>
        <row r="388">
          <cell r="J388" t="str">
            <v>VUKOVARA GRADA 284 _10_ CMZG-STBANKA</v>
          </cell>
        </row>
        <row r="389">
          <cell r="J389" t="str">
            <v>VUKOVARA GRADA 49 _10_ CMZG-MINPRAV-VUKOVARSKA</v>
          </cell>
        </row>
        <row r="390">
          <cell r="J390" t="str">
            <v>VUKOVARA GRADA 70 _10_ CMZG-FINA-VUKOVARSKA</v>
          </cell>
        </row>
        <row r="391">
          <cell r="J391" t="str">
            <v>VUKOVARA GRADA 72 _10_ CMZG-HL-VUKOVARSKA</v>
          </cell>
        </row>
        <row r="392">
          <cell r="J392" t="str">
            <v>VULINČEVA 129 _10_ CMZG-INA-IVANIC</v>
          </cell>
        </row>
        <row r="393">
          <cell r="J393" t="str">
            <v>ZAGREBAČKA 117 _10_ CMZG-BP-ZUBAK</v>
          </cell>
        </row>
        <row r="394">
          <cell r="J394" t="str">
            <v>ZAGREBAČKA 2 _43_ CMZG-MORH-BJELOVAR</v>
          </cell>
        </row>
        <row r="395">
          <cell r="J395" t="str">
            <v>ZONA PODUZETNIŠTVA 0BB _40_ CMZG-HAIX-MALA-SUBOTICA</v>
          </cell>
        </row>
        <row r="396">
          <cell r="J396" t="str">
            <v>ZRINSKO-FRANKOPANSKA 9 _40_ CMZG-DUZIS-CAKOVEC</v>
          </cell>
        </row>
        <row r="397">
          <cell r="J397" t="str">
            <v>ZRINSKO-FRANKOPANSKA 9 _40_ CMZG-MINFIN-CK</v>
          </cell>
        </row>
        <row r="398">
          <cell r="J398" t="str">
            <v>ZVONIMIRA KRALJA 4 _10_ CMZG-MUP-ZVONIMIROVA</v>
          </cell>
        </row>
        <row r="399">
          <cell r="J399" t="str">
            <v>ZWIEBELHOFER 3 DR. OTMAR _10_ CMZG-FEMTO-PISAROVINA</v>
          </cell>
        </row>
        <row r="400">
          <cell r="J400" t="str">
            <v>ŽAJE ANDRIJE 61 _10_ CMZG-MBU-AZAJE</v>
          </cell>
        </row>
        <row r="401">
          <cell r="J401" t="str">
            <v>ŽUTNICA 4/6 _49_ CMZG-MINFIN-KRAPINA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9CE5-1923-4CB5-A3E9-98F8361DEBD5}">
  <sheetPr codeName="Sheet13"/>
  <dimension ref="A1:M51"/>
  <sheetViews>
    <sheetView workbookViewId="0">
      <selection activeCell="F11" sqref="F11"/>
    </sheetView>
  </sheetViews>
  <sheetFormatPr defaultRowHeight="14.25" x14ac:dyDescent="0.2"/>
  <cols>
    <col min="1" max="1" width="6.140625" style="11" bestFit="1" customWidth="1"/>
    <col min="2" max="2" width="7.7109375" style="11" bestFit="1" customWidth="1"/>
    <col min="3" max="3" width="27.85546875" style="11" bestFit="1" customWidth="1"/>
    <col min="4" max="4" width="34.5703125" style="11" bestFit="1" customWidth="1"/>
    <col min="5" max="5" width="31.42578125" style="11" bestFit="1" customWidth="1"/>
    <col min="6" max="6" width="30.42578125" style="11" bestFit="1" customWidth="1"/>
    <col min="7" max="7" width="21" style="11" bestFit="1" customWidth="1"/>
    <col min="8" max="8" width="32.140625" style="11" bestFit="1" customWidth="1"/>
    <col min="9" max="9" width="21.7109375" style="11" customWidth="1"/>
    <col min="10" max="10" width="15.7109375" style="11" bestFit="1" customWidth="1"/>
    <col min="11" max="13" width="10.5703125" style="11" bestFit="1" customWidth="1"/>
    <col min="14" max="16384" width="9.140625" style="11"/>
  </cols>
  <sheetData>
    <row r="1" spans="1:13" ht="15.75" x14ac:dyDescent="0.25">
      <c r="A1" s="12" t="s">
        <v>11</v>
      </c>
      <c r="B1" s="124" t="s">
        <v>12</v>
      </c>
      <c r="C1" s="125"/>
      <c r="D1" s="13" t="s">
        <v>13</v>
      </c>
      <c r="E1" s="126" t="s">
        <v>14</v>
      </c>
      <c r="F1" s="127"/>
      <c r="G1" s="128" t="s">
        <v>86</v>
      </c>
      <c r="H1" s="127"/>
      <c r="I1" s="11" t="s">
        <v>15</v>
      </c>
      <c r="J1" s="118" t="s">
        <v>79</v>
      </c>
      <c r="K1" s="119" t="s">
        <v>83</v>
      </c>
      <c r="L1" s="119" t="s">
        <v>85</v>
      </c>
      <c r="M1" s="119" t="s">
        <v>84</v>
      </c>
    </row>
    <row r="2" spans="1:13" ht="15" x14ac:dyDescent="0.25">
      <c r="A2" s="11">
        <v>10</v>
      </c>
      <c r="B2" s="21" t="s">
        <v>17</v>
      </c>
      <c r="C2" s="22" t="s">
        <v>18</v>
      </c>
      <c r="D2" s="16" t="s">
        <v>16</v>
      </c>
      <c r="E2" s="129"/>
      <c r="F2" s="133" t="s">
        <v>81</v>
      </c>
      <c r="G2" s="136"/>
      <c r="H2" s="137" t="s">
        <v>81</v>
      </c>
      <c r="I2" s="11" t="s">
        <v>94</v>
      </c>
      <c r="J2" s="117" t="s">
        <v>82</v>
      </c>
    </row>
    <row r="3" spans="1:13" x14ac:dyDescent="0.2">
      <c r="B3" s="18"/>
      <c r="C3" s="19"/>
      <c r="D3" s="54"/>
      <c r="E3" s="129"/>
      <c r="F3" s="134"/>
      <c r="G3" s="136"/>
      <c r="H3" s="138"/>
    </row>
    <row r="4" spans="1:13" ht="15.75" x14ac:dyDescent="0.25">
      <c r="B4" s="21"/>
      <c r="C4" s="22"/>
      <c r="D4" s="24" t="s">
        <v>19</v>
      </c>
      <c r="E4" s="130"/>
      <c r="F4" s="135"/>
      <c r="G4" s="136"/>
      <c r="H4" s="139"/>
    </row>
    <row r="5" spans="1:13" ht="15" x14ac:dyDescent="0.25">
      <c r="B5" s="17"/>
      <c r="C5" s="17"/>
      <c r="D5" s="56" t="s">
        <v>20</v>
      </c>
      <c r="E5" s="130"/>
      <c r="F5" s="135"/>
      <c r="G5" s="23"/>
      <c r="H5" s="134"/>
    </row>
    <row r="6" spans="1:13" x14ac:dyDescent="0.2">
      <c r="B6" s="14"/>
      <c r="C6" s="15"/>
      <c r="D6" s="26" t="s">
        <v>21</v>
      </c>
      <c r="E6" s="129"/>
      <c r="F6" s="133"/>
      <c r="G6" s="129"/>
      <c r="H6" s="134"/>
    </row>
    <row r="7" spans="1:13" x14ac:dyDescent="0.2">
      <c r="B7" s="18"/>
      <c r="C7" s="19"/>
      <c r="D7" s="20" t="s">
        <v>22</v>
      </c>
      <c r="E7" s="129"/>
      <c r="F7" s="133"/>
      <c r="G7" s="23"/>
      <c r="H7" s="133"/>
    </row>
    <row r="8" spans="1:13" x14ac:dyDescent="0.2">
      <c r="B8" s="27"/>
      <c r="C8" s="28"/>
      <c r="E8" s="129"/>
      <c r="F8" s="133"/>
      <c r="G8" s="23"/>
      <c r="H8" s="133"/>
      <c r="I8" s="11" t="s">
        <v>23</v>
      </c>
    </row>
    <row r="9" spans="1:13" ht="15.75" x14ac:dyDescent="0.25">
      <c r="B9" s="29"/>
      <c r="C9" s="30"/>
      <c r="D9" s="24" t="s">
        <v>26</v>
      </c>
      <c r="E9" s="129"/>
      <c r="F9" s="133"/>
      <c r="G9" s="10"/>
      <c r="H9" s="10"/>
      <c r="I9" s="11" t="s">
        <v>95</v>
      </c>
    </row>
    <row r="10" spans="1:13" x14ac:dyDescent="0.2">
      <c r="B10" s="27"/>
      <c r="C10" s="28"/>
      <c r="D10" s="56"/>
      <c r="E10" s="129"/>
      <c r="F10" s="133"/>
      <c r="G10" s="23"/>
      <c r="H10" s="140"/>
    </row>
    <row r="11" spans="1:13" x14ac:dyDescent="0.2">
      <c r="B11" s="29"/>
      <c r="C11" s="30"/>
      <c r="D11" s="26"/>
      <c r="E11" s="129"/>
      <c r="F11" s="133"/>
      <c r="G11" s="23"/>
      <c r="H11" s="141"/>
    </row>
    <row r="12" spans="1:13" x14ac:dyDescent="0.2">
      <c r="B12" s="18"/>
      <c r="C12" s="19"/>
      <c r="D12" s="20"/>
      <c r="E12" s="129"/>
      <c r="F12" s="133"/>
      <c r="G12" s="23"/>
      <c r="H12" s="140"/>
    </row>
    <row r="13" spans="1:13" ht="15" x14ac:dyDescent="0.2">
      <c r="B13" s="18"/>
      <c r="C13" s="19"/>
      <c r="D13" s="57"/>
      <c r="E13" s="129"/>
      <c r="F13" s="133"/>
      <c r="G13" s="23"/>
      <c r="H13" s="133"/>
    </row>
    <row r="14" spans="1:13" x14ac:dyDescent="0.2">
      <c r="B14" s="21"/>
      <c r="C14" s="22"/>
      <c r="D14" s="55"/>
      <c r="E14" s="129"/>
      <c r="F14" s="133"/>
      <c r="G14" s="23"/>
      <c r="H14" s="133"/>
    </row>
    <row r="15" spans="1:13" ht="15.75" x14ac:dyDescent="0.25">
      <c r="B15" s="29"/>
      <c r="C15" s="30"/>
      <c r="D15" s="13" t="s">
        <v>24</v>
      </c>
      <c r="E15" s="129"/>
      <c r="F15" s="133"/>
      <c r="G15" s="23"/>
      <c r="H15" s="140"/>
    </row>
    <row r="16" spans="1:13" x14ac:dyDescent="0.2">
      <c r="B16" s="18"/>
      <c r="C16" s="19"/>
      <c r="D16" s="59" t="s">
        <v>25</v>
      </c>
      <c r="E16" s="129"/>
      <c r="F16" s="133"/>
      <c r="G16" s="10"/>
      <c r="H16" s="10"/>
    </row>
    <row r="17" spans="2:8" ht="15.75" x14ac:dyDescent="0.25">
      <c r="B17" s="21"/>
      <c r="C17" s="22"/>
      <c r="D17" s="58"/>
      <c r="E17" s="131"/>
      <c r="F17" s="131"/>
      <c r="G17" s="142"/>
      <c r="H17" s="135"/>
    </row>
    <row r="18" spans="2:8" ht="15" x14ac:dyDescent="0.25">
      <c r="B18" s="14"/>
      <c r="C18" s="15"/>
      <c r="D18" s="64" t="s">
        <v>87</v>
      </c>
      <c r="E18" s="131"/>
      <c r="F18" s="131"/>
      <c r="G18" s="10"/>
      <c r="H18" s="10"/>
    </row>
    <row r="19" spans="2:8" x14ac:dyDescent="0.2">
      <c r="B19" s="18"/>
      <c r="C19" s="19"/>
      <c r="D19" s="26"/>
      <c r="E19" s="131"/>
      <c r="F19" s="131"/>
      <c r="G19" s="10"/>
      <c r="H19" s="10"/>
    </row>
    <row r="20" spans="2:8" x14ac:dyDescent="0.2">
      <c r="B20" s="18"/>
      <c r="C20" s="19"/>
      <c r="D20" s="26"/>
      <c r="E20" s="131"/>
      <c r="F20" s="131"/>
      <c r="G20" s="10"/>
      <c r="H20" s="10"/>
    </row>
    <row r="21" spans="2:8" ht="15" x14ac:dyDescent="0.25">
      <c r="B21" s="21"/>
      <c r="C21" s="22"/>
      <c r="D21" s="26"/>
      <c r="E21" s="132"/>
      <c r="F21" s="131"/>
      <c r="G21" s="10"/>
      <c r="H21" s="10"/>
    </row>
    <row r="22" spans="2:8" x14ac:dyDescent="0.2">
      <c r="B22" s="31"/>
      <c r="C22" s="31"/>
      <c r="D22" s="62"/>
      <c r="E22" s="10"/>
      <c r="F22" s="10"/>
      <c r="G22" s="10"/>
      <c r="H22" s="10"/>
    </row>
    <row r="23" spans="2:8" x14ac:dyDescent="0.2">
      <c r="B23" s="31"/>
      <c r="C23" s="31"/>
      <c r="D23" s="62"/>
      <c r="E23" s="10"/>
      <c r="F23" s="10"/>
      <c r="G23" s="10"/>
      <c r="H23" s="10"/>
    </row>
    <row r="24" spans="2:8" x14ac:dyDescent="0.2">
      <c r="B24" s="31"/>
      <c r="C24" s="31"/>
      <c r="D24" s="63"/>
      <c r="E24" s="10"/>
      <c r="F24" s="10"/>
      <c r="G24" s="10"/>
      <c r="H24" s="10"/>
    </row>
    <row r="25" spans="2:8" x14ac:dyDescent="0.2">
      <c r="B25" s="31"/>
      <c r="C25" s="31"/>
      <c r="E25" s="10"/>
      <c r="F25" s="10"/>
    </row>
    <row r="26" spans="2:8" x14ac:dyDescent="0.2">
      <c r="B26" s="31"/>
      <c r="C26" s="31"/>
      <c r="E26" s="10"/>
      <c r="F26" s="10"/>
    </row>
    <row r="27" spans="2:8" x14ac:dyDescent="0.2">
      <c r="B27" s="31"/>
      <c r="C27" s="31"/>
      <c r="E27" s="10"/>
      <c r="F27" s="10"/>
    </row>
    <row r="28" spans="2:8" x14ac:dyDescent="0.2">
      <c r="B28" s="31"/>
      <c r="C28" s="31"/>
      <c r="E28" s="10"/>
      <c r="F28" s="10"/>
    </row>
    <row r="29" spans="2:8" x14ac:dyDescent="0.2">
      <c r="B29" s="31"/>
      <c r="C29" s="31"/>
      <c r="E29" s="10"/>
      <c r="F29" s="10"/>
    </row>
    <row r="30" spans="2:8" x14ac:dyDescent="0.2">
      <c r="B30" s="31"/>
      <c r="C30" s="31"/>
      <c r="E30" s="10"/>
      <c r="F30" s="10"/>
    </row>
    <row r="31" spans="2:8" x14ac:dyDescent="0.2">
      <c r="B31" s="23"/>
      <c r="C31" s="23"/>
      <c r="E31" s="10"/>
      <c r="F31" s="10"/>
    </row>
    <row r="32" spans="2:8" x14ac:dyDescent="0.2">
      <c r="B32" s="23"/>
      <c r="C32" s="23"/>
    </row>
    <row r="33" spans="2:4" x14ac:dyDescent="0.2">
      <c r="B33" s="23"/>
      <c r="C33" s="23"/>
    </row>
    <row r="34" spans="2:4" ht="15" x14ac:dyDescent="0.2">
      <c r="B34" s="23"/>
      <c r="C34" s="23"/>
      <c r="D34" s="61"/>
    </row>
    <row r="35" spans="2:4" x14ac:dyDescent="0.2">
      <c r="B35" s="25"/>
      <c r="C35" s="25"/>
      <c r="D35" s="60"/>
    </row>
    <row r="36" spans="2:4" x14ac:dyDescent="0.2">
      <c r="B36" s="25"/>
    </row>
    <row r="37" spans="2:4" x14ac:dyDescent="0.2">
      <c r="B37" s="25"/>
      <c r="C37" s="23"/>
    </row>
    <row r="38" spans="2:4" x14ac:dyDescent="0.2">
      <c r="B38" s="23"/>
      <c r="C38" s="25"/>
    </row>
    <row r="39" spans="2:4" x14ac:dyDescent="0.2">
      <c r="B39" s="23"/>
      <c r="C39" s="25"/>
    </row>
    <row r="40" spans="2:4" x14ac:dyDescent="0.2">
      <c r="B40" s="23"/>
    </row>
    <row r="41" spans="2:4" x14ac:dyDescent="0.2">
      <c r="B41" s="23"/>
    </row>
    <row r="42" spans="2:4" x14ac:dyDescent="0.2">
      <c r="B42" s="23"/>
    </row>
    <row r="43" spans="2:4" x14ac:dyDescent="0.2">
      <c r="B43" s="23"/>
    </row>
    <row r="44" spans="2:4" x14ac:dyDescent="0.2">
      <c r="B44" s="23"/>
    </row>
    <row r="45" spans="2:4" x14ac:dyDescent="0.2">
      <c r="B45" s="23"/>
    </row>
    <row r="46" spans="2:4" x14ac:dyDescent="0.2">
      <c r="B46" s="23"/>
    </row>
    <row r="47" spans="2:4" x14ac:dyDescent="0.2">
      <c r="B47" s="23"/>
    </row>
    <row r="48" spans="2:4" x14ac:dyDescent="0.2">
      <c r="B48" s="23"/>
    </row>
    <row r="49" spans="2:2" x14ac:dyDescent="0.2">
      <c r="B49" s="23"/>
    </row>
    <row r="50" spans="2:2" x14ac:dyDescent="0.2">
      <c r="B50" s="23"/>
    </row>
    <row r="51" spans="2:2" x14ac:dyDescent="0.2">
      <c r="B51" s="23"/>
    </row>
  </sheetData>
  <mergeCells count="3">
    <mergeCell ref="B1:C1"/>
    <mergeCell ref="E1:F1"/>
    <mergeCell ref="G1:H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AA38-334C-441D-A306-3D5AE6FC0A19}">
  <sheetPr codeName="Sheet10"/>
  <dimension ref="A1:B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7" sqref="A7"/>
    </sheetView>
  </sheetViews>
  <sheetFormatPr defaultRowHeight="15" x14ac:dyDescent="0.25"/>
  <cols>
    <col min="1" max="1" width="21.7109375" customWidth="1"/>
    <col min="2" max="2" width="51.7109375" customWidth="1"/>
  </cols>
  <sheetData>
    <row r="1" spans="1:2" x14ac:dyDescent="0.25">
      <c r="A1" t="s">
        <v>0</v>
      </c>
    </row>
    <row r="2" spans="1:2" x14ac:dyDescent="0.25">
      <c r="A2" t="s">
        <v>88</v>
      </c>
      <c r="B2" t="s">
        <v>91</v>
      </c>
    </row>
    <row r="3" spans="1:2" x14ac:dyDescent="0.25">
      <c r="A3" t="s">
        <v>89</v>
      </c>
      <c r="B3" t="s">
        <v>91</v>
      </c>
    </row>
    <row r="4" spans="1:2" x14ac:dyDescent="0.25">
      <c r="A4" t="s">
        <v>90</v>
      </c>
      <c r="B4" s="32" t="s">
        <v>92</v>
      </c>
    </row>
    <row r="5" spans="1:2" x14ac:dyDescent="0.25">
      <c r="A5" t="s">
        <v>93</v>
      </c>
      <c r="B5" t="s">
        <v>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7A0A2-9976-4BF7-BB2C-29E23D621FFB}">
  <sheetPr codeName="Sheet4"/>
  <dimension ref="A1"/>
  <sheetViews>
    <sheetView workbookViewId="0"/>
  </sheetViews>
  <sheetFormatPr defaultRowHeight="15.6" customHeight="1" x14ac:dyDescent="0.25"/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85131-EB85-4805-A467-F7ABB9C0267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E198-60C9-4CC4-ACE2-712A47816121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8240-FDB2-4A4F-8919-2B99392E1A08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18A1A-8B97-40BB-802C-1238411B8633}">
  <sheetPr codeName="Sheet12"/>
  <dimension ref="A1:J9"/>
  <sheetViews>
    <sheetView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J11" sqref="J11"/>
    </sheetView>
  </sheetViews>
  <sheetFormatPr defaultRowHeight="14.25" x14ac:dyDescent="0.25"/>
  <cols>
    <col min="1" max="1" width="8.85546875" style="4" customWidth="1"/>
    <col min="2" max="2" width="56.85546875" style="4" bestFit="1" customWidth="1"/>
    <col min="3" max="3" width="27" style="4" bestFit="1" customWidth="1"/>
    <col min="4" max="4" width="20.85546875" style="4" bestFit="1" customWidth="1"/>
    <col min="5" max="5" width="10.140625" style="4" bestFit="1" customWidth="1"/>
    <col min="6" max="6" width="39.28515625" style="4" bestFit="1" customWidth="1"/>
    <col min="7" max="7" width="118.28515625" style="4" bestFit="1" customWidth="1"/>
    <col min="8" max="8" width="40.42578125" style="4" bestFit="1" customWidth="1"/>
    <col min="9" max="9" width="23.42578125" style="4" bestFit="1" customWidth="1"/>
    <col min="10" max="10" width="61.140625" style="4" bestFit="1" customWidth="1"/>
    <col min="11" max="16384" width="9.140625" style="4"/>
  </cols>
  <sheetData>
    <row r="1" spans="1:10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2" t="s">
        <v>8</v>
      </c>
      <c r="I1" s="1" t="s">
        <v>9</v>
      </c>
      <c r="J1" s="3" t="s">
        <v>10</v>
      </c>
    </row>
    <row r="2" spans="1:10" x14ac:dyDescent="0.25">
      <c r="J2" s="4" t="s">
        <v>2</v>
      </c>
    </row>
    <row r="5" spans="1:10" ht="15" x14ac:dyDescent="0.25">
      <c r="A5" s="5" t="s">
        <v>1</v>
      </c>
      <c r="B5" s="5" t="s">
        <v>2</v>
      </c>
      <c r="C5" s="5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6" t="s">
        <v>8</v>
      </c>
      <c r="I5" s="5" t="s">
        <v>9</v>
      </c>
      <c r="J5" s="3" t="s">
        <v>10</v>
      </c>
    </row>
    <row r="6" spans="1:10" s="10" customFormat="1" x14ac:dyDescent="0.2">
      <c r="A6" s="7" t="s">
        <v>96</v>
      </c>
      <c r="B6" s="7" t="s">
        <v>103</v>
      </c>
      <c r="C6" s="7" t="s">
        <v>100</v>
      </c>
      <c r="D6" s="8" t="s">
        <v>101</v>
      </c>
      <c r="E6" s="9" t="s">
        <v>83</v>
      </c>
      <c r="F6" s="7" t="s">
        <v>107</v>
      </c>
      <c r="G6" s="9" t="s">
        <v>111</v>
      </c>
      <c r="H6" s="9"/>
      <c r="I6" s="9"/>
      <c r="J6" s="7" t="s">
        <v>96</v>
      </c>
    </row>
    <row r="7" spans="1:10" s="10" customFormat="1" x14ac:dyDescent="0.2">
      <c r="A7" s="7" t="s">
        <v>97</v>
      </c>
      <c r="B7" s="7" t="s">
        <v>104</v>
      </c>
      <c r="C7" s="7" t="s">
        <v>100</v>
      </c>
      <c r="D7" s="8" t="s">
        <v>101</v>
      </c>
      <c r="E7" s="9" t="s">
        <v>83</v>
      </c>
      <c r="F7" s="7" t="s">
        <v>108</v>
      </c>
      <c r="G7" s="9" t="s">
        <v>112</v>
      </c>
      <c r="H7" s="9"/>
      <c r="I7" s="9"/>
      <c r="J7" s="7" t="s">
        <v>97</v>
      </c>
    </row>
    <row r="8" spans="1:10" s="10" customFormat="1" x14ac:dyDescent="0.2">
      <c r="A8" s="7" t="s">
        <v>98</v>
      </c>
      <c r="B8" s="7" t="s">
        <v>105</v>
      </c>
      <c r="C8" s="7" t="s">
        <v>100</v>
      </c>
      <c r="D8" s="8" t="s">
        <v>102</v>
      </c>
      <c r="E8" s="9" t="s">
        <v>85</v>
      </c>
      <c r="F8" s="7" t="s">
        <v>109</v>
      </c>
      <c r="G8" s="9" t="s">
        <v>113</v>
      </c>
      <c r="H8" s="9"/>
      <c r="I8" s="9"/>
      <c r="J8" s="7" t="s">
        <v>98</v>
      </c>
    </row>
    <row r="9" spans="1:10" s="10" customFormat="1" x14ac:dyDescent="0.2">
      <c r="A9" s="7" t="s">
        <v>99</v>
      </c>
      <c r="B9" s="7" t="s">
        <v>106</v>
      </c>
      <c r="C9" s="7" t="s">
        <v>100</v>
      </c>
      <c r="D9" s="8" t="s">
        <v>101</v>
      </c>
      <c r="E9" s="9" t="s">
        <v>83</v>
      </c>
      <c r="F9" s="7" t="s">
        <v>110</v>
      </c>
      <c r="G9" s="9" t="s">
        <v>114</v>
      </c>
      <c r="H9" s="9"/>
      <c r="I9" s="9"/>
      <c r="J9" s="7" t="s">
        <v>99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F5E38-EE55-4141-BA61-31A962CB5922}">
  <sheetPr codeName="Sheet14"/>
  <dimension ref="A1"/>
  <sheetViews>
    <sheetView workbookViewId="0">
      <selection activeCell="B2" sqref="B2"/>
    </sheetView>
  </sheetViews>
  <sheetFormatPr defaultRowHeight="15" x14ac:dyDescent="0.25"/>
  <cols>
    <col min="1" max="1" width="179.140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683E4-CC01-43F6-BF45-28F9D3F822BA}">
  <sheetPr codeName="Sheet9"/>
  <dimension ref="A1:L2"/>
  <sheetViews>
    <sheetView workbookViewId="0">
      <pane ySplit="1" topLeftCell="A2" activePane="bottomLeft" state="frozen"/>
      <selection pane="bottomLeft" activeCell="A4" sqref="A4"/>
    </sheetView>
  </sheetViews>
  <sheetFormatPr defaultColWidth="9.140625" defaultRowHeight="15" x14ac:dyDescent="0.25"/>
  <cols>
    <col min="1" max="1" width="6.85546875" bestFit="1" customWidth="1"/>
    <col min="2" max="2" width="12.28515625" bestFit="1" customWidth="1"/>
    <col min="3" max="3" width="15.28515625" customWidth="1"/>
    <col min="4" max="4" width="13.140625" customWidth="1"/>
    <col min="5" max="5" width="46.42578125" customWidth="1"/>
    <col min="6" max="6" width="76.7109375" customWidth="1"/>
    <col min="7" max="7" width="14.5703125" customWidth="1"/>
    <col min="8" max="8" width="8.28515625" customWidth="1"/>
    <col min="9" max="9" width="11.85546875" customWidth="1"/>
    <col min="10" max="10" width="20.85546875" customWidth="1"/>
    <col min="11" max="12" width="69" customWidth="1"/>
    <col min="13" max="13" width="20" customWidth="1"/>
  </cols>
  <sheetData>
    <row r="1" spans="1:12" s="41" customFormat="1" ht="45" x14ac:dyDescent="0.2">
      <c r="A1" s="33" t="s">
        <v>27</v>
      </c>
      <c r="B1" s="33" t="s">
        <v>28</v>
      </c>
      <c r="C1" s="33" t="s">
        <v>29</v>
      </c>
      <c r="D1" s="34" t="s">
        <v>30</v>
      </c>
      <c r="E1" s="35" t="s">
        <v>31</v>
      </c>
      <c r="F1" s="35" t="s">
        <v>32</v>
      </c>
      <c r="G1" s="36" t="s">
        <v>33</v>
      </c>
      <c r="H1" s="36" t="s">
        <v>34</v>
      </c>
      <c r="I1" s="37" t="s">
        <v>35</v>
      </c>
      <c r="J1" s="38" t="s">
        <v>36</v>
      </c>
      <c r="K1" s="39" t="s">
        <v>37</v>
      </c>
      <c r="L1" s="40" t="s">
        <v>38</v>
      </c>
    </row>
    <row r="2" spans="1:12" x14ac:dyDescent="0.25">
      <c r="B2" s="42"/>
      <c r="C2" s="43"/>
      <c r="D2" s="43"/>
      <c r="E2" s="44"/>
      <c r="F2" s="44"/>
      <c r="G2" s="45"/>
      <c r="H2" s="46"/>
      <c r="I2" s="47"/>
      <c r="J2" s="48"/>
      <c r="K2" s="4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576EF-163C-4F7A-A003-C11D20A3B6BB}">
  <sheetPr codeName="Sheet2"/>
  <dimension ref="A1:D2"/>
  <sheetViews>
    <sheetView workbookViewId="0">
      <selection activeCell="A4" sqref="A4"/>
    </sheetView>
  </sheetViews>
  <sheetFormatPr defaultRowHeight="15" x14ac:dyDescent="0.25"/>
  <cols>
    <col min="1" max="1" width="32.42578125" customWidth="1"/>
    <col min="2" max="2" width="9.5703125" customWidth="1"/>
    <col min="3" max="3" width="16.140625" customWidth="1"/>
    <col min="4" max="4" width="26.5703125" customWidth="1"/>
  </cols>
  <sheetData>
    <row r="1" spans="1:4" ht="15.75" thickBot="1" x14ac:dyDescent="0.3">
      <c r="A1" s="50" t="s">
        <v>52</v>
      </c>
      <c r="B1" s="49"/>
      <c r="C1" s="49"/>
      <c r="D1" s="50" t="s">
        <v>53</v>
      </c>
    </row>
    <row r="2" spans="1:4" ht="15.75" thickBot="1" x14ac:dyDescent="0.3">
      <c r="A2" s="51"/>
      <c r="B2" s="52"/>
      <c r="C2" s="52"/>
      <c r="D2" s="5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179EE-006A-4DAB-A075-52972CB19525}">
  <sheetPr codeName="Sheet1"/>
  <dimension ref="A1:J36"/>
  <sheetViews>
    <sheetView tabSelected="1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4.25" x14ac:dyDescent="0.2"/>
  <cols>
    <col min="1" max="1" width="34.42578125" style="70" bestFit="1" customWidth="1"/>
    <col min="2" max="2" width="82.28515625" style="70" customWidth="1"/>
    <col min="3" max="3" width="38.140625" style="70" bestFit="1" customWidth="1"/>
    <col min="4" max="4" width="32.42578125" style="70" customWidth="1"/>
    <col min="5" max="5" width="9.5703125" style="70" customWidth="1"/>
    <col min="6" max="6" width="16.140625" style="70" customWidth="1"/>
    <col min="7" max="7" width="15.140625" style="70" customWidth="1"/>
    <col min="8" max="8" width="18.28515625" style="70" bestFit="1" customWidth="1"/>
    <col min="9" max="9" width="22.42578125" style="70" bestFit="1" customWidth="1"/>
    <col min="10" max="10" width="22.85546875" style="70" bestFit="1" customWidth="1"/>
    <col min="11" max="16384" width="9.140625" style="70"/>
  </cols>
  <sheetData>
    <row r="1" spans="1:8" x14ac:dyDescent="0.2">
      <c r="A1" s="94" t="s">
        <v>39</v>
      </c>
      <c r="B1" s="80"/>
      <c r="D1" s="81"/>
      <c r="E1" s="113"/>
      <c r="F1" s="113"/>
      <c r="G1" s="81"/>
    </row>
    <row r="2" spans="1:8" x14ac:dyDescent="0.2">
      <c r="A2" s="95" t="s">
        <v>41</v>
      </c>
      <c r="B2" s="65"/>
      <c r="D2" s="82"/>
      <c r="E2" s="81"/>
      <c r="F2" s="81"/>
      <c r="G2" s="114"/>
    </row>
    <row r="3" spans="1:8" ht="15" x14ac:dyDescent="0.2">
      <c r="A3" s="96" t="s">
        <v>42</v>
      </c>
      <c r="B3" s="66"/>
      <c r="C3" s="83"/>
    </row>
    <row r="4" spans="1:8" x14ac:dyDescent="0.2">
      <c r="A4" s="95" t="s">
        <v>43</v>
      </c>
      <c r="B4" s="65"/>
      <c r="C4" s="101" t="s">
        <v>71</v>
      </c>
    </row>
    <row r="5" spans="1:8" ht="15" x14ac:dyDescent="0.25">
      <c r="A5" s="95" t="s">
        <v>44</v>
      </c>
      <c r="B5" s="65"/>
      <c r="C5" s="101" t="s">
        <v>72</v>
      </c>
      <c r="D5" s="123"/>
    </row>
    <row r="6" spans="1:8" s="78" customFormat="1" ht="15" x14ac:dyDescent="0.2">
      <c r="A6" s="97" t="s">
        <v>54</v>
      </c>
      <c r="B6" s="66">
        <f>AT!B2</f>
        <v>0</v>
      </c>
      <c r="C6" s="106" t="s">
        <v>49</v>
      </c>
      <c r="D6" s="79"/>
    </row>
    <row r="7" spans="1:8" ht="15" x14ac:dyDescent="0.2">
      <c r="A7" s="98" t="s">
        <v>48</v>
      </c>
      <c r="B7" s="67"/>
      <c r="C7" s="104" t="s">
        <v>50</v>
      </c>
    </row>
    <row r="8" spans="1:8" ht="15" x14ac:dyDescent="0.2">
      <c r="A8" s="99" t="s">
        <v>45</v>
      </c>
      <c r="B8" s="68"/>
      <c r="C8" s="104" t="s">
        <v>51</v>
      </c>
    </row>
    <row r="9" spans="1:8" ht="15" x14ac:dyDescent="0.2">
      <c r="A9" s="99" t="s">
        <v>57</v>
      </c>
      <c r="B9" s="122" t="s">
        <v>80</v>
      </c>
      <c r="C9" s="120" t="s">
        <v>65</v>
      </c>
      <c r="D9" s="84" t="s">
        <v>98</v>
      </c>
    </row>
    <row r="10" spans="1:8" ht="15" x14ac:dyDescent="0.25">
      <c r="A10" s="100" t="s">
        <v>46</v>
      </c>
      <c r="B10" s="123"/>
      <c r="C10" s="107" t="s">
        <v>74</v>
      </c>
      <c r="D10" s="85" t="s">
        <v>115</v>
      </c>
      <c r="E10" s="90"/>
      <c r="F10" s="90"/>
      <c r="G10" s="90"/>
      <c r="H10" s="90"/>
    </row>
    <row r="11" spans="1:8" x14ac:dyDescent="0.2">
      <c r="A11" s="101" t="s">
        <v>63</v>
      </c>
      <c r="B11" s="121"/>
      <c r="C11" s="108" t="s">
        <v>66</v>
      </c>
      <c r="D11" s="86" t="s">
        <v>105</v>
      </c>
      <c r="E11" s="90"/>
      <c r="F11" s="90"/>
      <c r="G11" s="90"/>
      <c r="H11" s="90"/>
    </row>
    <row r="12" spans="1:8" ht="15" x14ac:dyDescent="0.25">
      <c r="A12" s="102" t="s">
        <v>64</v>
      </c>
      <c r="C12" s="109" t="s">
        <v>67</v>
      </c>
      <c r="D12" s="87" t="s">
        <v>116</v>
      </c>
      <c r="E12" s="90"/>
      <c r="F12" s="90"/>
      <c r="G12" s="90"/>
      <c r="H12" s="90"/>
    </row>
    <row r="13" spans="1:8" x14ac:dyDescent="0.2">
      <c r="A13" s="101" t="s">
        <v>73</v>
      </c>
      <c r="C13" s="110" t="s">
        <v>68</v>
      </c>
      <c r="D13" s="88"/>
      <c r="E13" s="90"/>
      <c r="F13" s="90"/>
      <c r="G13" s="90"/>
      <c r="H13" s="90"/>
    </row>
    <row r="14" spans="1:8" x14ac:dyDescent="0.2">
      <c r="A14" s="101" t="s">
        <v>62</v>
      </c>
      <c r="C14" s="110" t="s">
        <v>75</v>
      </c>
      <c r="D14" s="88"/>
      <c r="E14" s="90"/>
      <c r="F14" s="90"/>
      <c r="G14" s="90"/>
      <c r="H14" s="90"/>
    </row>
    <row r="15" spans="1:8" x14ac:dyDescent="0.2">
      <c r="A15" s="94" t="s">
        <v>58</v>
      </c>
      <c r="C15" s="110" t="s">
        <v>69</v>
      </c>
      <c r="D15" s="88"/>
      <c r="E15" s="90"/>
      <c r="F15" s="90"/>
      <c r="G15" s="90"/>
      <c r="H15" s="90"/>
    </row>
    <row r="16" spans="1:8" x14ac:dyDescent="0.2">
      <c r="A16" s="101" t="s">
        <v>76</v>
      </c>
      <c r="B16" s="70" t="s">
        <v>100</v>
      </c>
      <c r="C16" s="111" t="s">
        <v>70</v>
      </c>
      <c r="D16" s="89"/>
      <c r="E16" s="90"/>
      <c r="F16" s="90"/>
      <c r="G16" s="90"/>
      <c r="H16" s="90"/>
    </row>
    <row r="17" spans="1:10" x14ac:dyDescent="0.2">
      <c r="A17" s="95" t="s">
        <v>77</v>
      </c>
      <c r="B17" s="71"/>
      <c r="C17" s="71"/>
      <c r="D17" s="90"/>
      <c r="E17" s="90"/>
      <c r="F17" s="90"/>
      <c r="G17" s="90"/>
      <c r="H17" s="90"/>
    </row>
    <row r="18" spans="1:10" x14ac:dyDescent="0.2">
      <c r="A18" s="103" t="s">
        <v>60</v>
      </c>
      <c r="B18" s="72"/>
      <c r="C18" s="90"/>
      <c r="D18" s="90"/>
      <c r="E18" s="90"/>
      <c r="F18" s="90"/>
      <c r="G18" s="90"/>
      <c r="H18" s="90"/>
    </row>
    <row r="19" spans="1:10" x14ac:dyDescent="0.2">
      <c r="A19" s="103" t="s">
        <v>61</v>
      </c>
      <c r="B19" s="72"/>
      <c r="C19" s="90"/>
      <c r="D19" s="90"/>
      <c r="E19" s="90"/>
      <c r="F19" s="90"/>
      <c r="G19" s="90"/>
      <c r="H19" s="90"/>
    </row>
    <row r="20" spans="1:10" x14ac:dyDescent="0.2">
      <c r="A20" s="103" t="s">
        <v>40</v>
      </c>
      <c r="B20" s="73"/>
      <c r="C20" s="90"/>
      <c r="D20" s="90"/>
      <c r="E20" s="90"/>
      <c r="F20" s="90"/>
      <c r="G20" s="90"/>
      <c r="H20" s="90"/>
    </row>
    <row r="21" spans="1:10" ht="15" x14ac:dyDescent="0.2">
      <c r="A21" s="100" t="s">
        <v>47</v>
      </c>
      <c r="B21" s="122"/>
      <c r="C21" s="90"/>
      <c r="D21" s="90"/>
      <c r="E21" s="90"/>
      <c r="F21" s="90"/>
      <c r="G21" s="90"/>
      <c r="H21" s="90"/>
    </row>
    <row r="22" spans="1:10" x14ac:dyDescent="0.2">
      <c r="A22" s="94" t="s">
        <v>59</v>
      </c>
      <c r="B22" s="74"/>
      <c r="C22" s="74"/>
      <c r="D22" s="74"/>
    </row>
    <row r="23" spans="1:10" s="75" customFormat="1" ht="15" customHeight="1" x14ac:dyDescent="0.2">
      <c r="A23" s="101" t="s">
        <v>55</v>
      </c>
      <c r="B23" s="91"/>
      <c r="C23" s="91"/>
      <c r="D23" s="91"/>
    </row>
    <row r="25" spans="1:10" s="75" customFormat="1" ht="23.1" customHeight="1" x14ac:dyDescent="0.25">
      <c r="A25" s="75" t="s">
        <v>1</v>
      </c>
      <c r="B25" s="69" t="s">
        <v>2</v>
      </c>
      <c r="C25" s="75" t="s">
        <v>3</v>
      </c>
      <c r="D25" s="75" t="s">
        <v>4</v>
      </c>
      <c r="E25" s="75" t="s">
        <v>5</v>
      </c>
      <c r="F25" s="75" t="s">
        <v>6</v>
      </c>
      <c r="G25" s="112" t="s">
        <v>7</v>
      </c>
      <c r="H25" s="75" t="s">
        <v>8</v>
      </c>
      <c r="I25" s="75" t="s">
        <v>9</v>
      </c>
      <c r="J25" s="75" t="s">
        <v>10</v>
      </c>
    </row>
    <row r="26" spans="1:10" x14ac:dyDescent="0.2">
      <c r="A26" s="70" t="s">
        <v>98</v>
      </c>
      <c r="B26" s="70" t="s">
        <v>105</v>
      </c>
      <c r="C26" s="70" t="s">
        <v>100</v>
      </c>
      <c r="D26" s="70" t="s">
        <v>102</v>
      </c>
      <c r="E26" s="70" t="s">
        <v>85</v>
      </c>
      <c r="F26" s="70" t="s">
        <v>109</v>
      </c>
      <c r="G26" s="70" t="s">
        <v>113</v>
      </c>
      <c r="J26" s="70" t="s">
        <v>98</v>
      </c>
    </row>
    <row r="27" spans="1:10" s="93" customFormat="1" ht="15" customHeight="1" x14ac:dyDescent="0.25">
      <c r="A27" s="105" t="s">
        <v>78</v>
      </c>
      <c r="B27" s="77" t="s">
        <v>116</v>
      </c>
      <c r="C27" s="92"/>
      <c r="H27" s="115"/>
    </row>
    <row r="28" spans="1:10" s="75" customFormat="1" ht="15" customHeight="1" x14ac:dyDescent="0.25"/>
    <row r="29" spans="1:10" s="75" customFormat="1" ht="15" customHeight="1" x14ac:dyDescent="0.25"/>
    <row r="30" spans="1:10" s="75" customFormat="1" ht="15" customHeight="1" x14ac:dyDescent="0.25">
      <c r="A30" s="116" t="s">
        <v>25</v>
      </c>
      <c r="B30" s="76"/>
    </row>
    <row r="31" spans="1:10" s="75" customFormat="1" ht="15" customHeight="1" x14ac:dyDescent="0.25"/>
    <row r="32" spans="1:10" s="75" customFormat="1" ht="23.1" customHeight="1" x14ac:dyDescent="0.25">
      <c r="A32" s="75" t="s">
        <v>1</v>
      </c>
      <c r="B32" s="69" t="s">
        <v>2</v>
      </c>
      <c r="C32" s="75" t="s">
        <v>3</v>
      </c>
      <c r="D32" s="75" t="s">
        <v>4</v>
      </c>
      <c r="E32" s="75" t="s">
        <v>5</v>
      </c>
      <c r="F32" s="75" t="s">
        <v>6</v>
      </c>
      <c r="G32" s="112" t="s">
        <v>7</v>
      </c>
      <c r="H32" s="75" t="s">
        <v>8</v>
      </c>
      <c r="I32" s="75" t="s">
        <v>9</v>
      </c>
      <c r="J32" s="75" t="s">
        <v>10</v>
      </c>
    </row>
    <row r="33" spans="1:8" s="75" customFormat="1" ht="15.95" customHeight="1" x14ac:dyDescent="0.25"/>
    <row r="34" spans="1:8" s="93" customFormat="1" ht="15" customHeight="1" x14ac:dyDescent="0.25">
      <c r="A34" s="105" t="s">
        <v>56</v>
      </c>
      <c r="B34" s="77" t="s">
        <v>117</v>
      </c>
      <c r="C34" s="92"/>
      <c r="H34" s="115"/>
    </row>
    <row r="35" spans="1:8" s="75" customFormat="1" ht="15" customHeight="1" x14ac:dyDescent="0.25">
      <c r="B35" s="76"/>
    </row>
    <row r="36" spans="1:8" s="75" customFormat="1" ht="15" customHeight="1" x14ac:dyDescent="0.25">
      <c r="B36" s="76"/>
    </row>
  </sheetData>
  <sheetProtection sheet="1" objects="1" scenarios="1"/>
  <dataValidations count="4">
    <dataValidation type="list" allowBlank="1" showInputMessage="1" showErrorMessage="1" sqref="B14" xr:uid="{3152BDF1-A3A4-4708-A4E9-E989777A108C}">
      <formula1>SFP_10GE</formula1>
    </dataValidation>
    <dataValidation type="list" allowBlank="1" showInputMessage="1" showErrorMessage="1" sqref="B10" xr:uid="{1BD74FAC-A63B-42F6-A295-0B08D304B101}">
      <formula1>FO_TR_izradio</formula1>
    </dataValidation>
    <dataValidation type="list" allowBlank="1" showInputMessage="1" showErrorMessage="1" sqref="B12" xr:uid="{47675AC7-AB5A-4F2E-90EC-A50AD46F515C}">
      <formula1>TR_BP_ATN</formula1>
    </dataValidation>
    <dataValidation type="list" allowBlank="1" showInputMessage="1" showErrorMessage="1" sqref="B15" xr:uid="{34CB83DB-4271-48DE-B270-00FC7B7CEE6F}">
      <formula1>korisnik_vendor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1" r:id="rId4" name="ComboBox1">
          <controlPr defaultSize="0" autoLine="0" linkedCell="B25" listFillRange="mpls" r:id="rId5">
            <anchor moveWithCells="1">
              <from>
                <xdr:col>1</xdr:col>
                <xdr:colOff>38100</xdr:colOff>
                <xdr:row>24</xdr:row>
                <xdr:rowOff>9525</xdr:rowOff>
              </from>
              <to>
                <xdr:col>1</xdr:col>
                <xdr:colOff>5438775</xdr:colOff>
                <xdr:row>24</xdr:row>
                <xdr:rowOff>276225</xdr:rowOff>
              </to>
            </anchor>
          </controlPr>
        </control>
      </mc:Choice>
      <mc:Fallback>
        <control shapeId="12291" r:id="rId4" name="ComboBox1"/>
      </mc:Fallback>
    </mc:AlternateContent>
    <mc:AlternateContent xmlns:mc="http://schemas.openxmlformats.org/markup-compatibility/2006">
      <mc:Choice Requires="x14">
        <control shapeId="12292" r:id="rId6" name="ComboBox2">
          <controlPr defaultSize="0" autoLine="0" linkedCell="B32" listFillRange="mpls" r:id="rId7">
            <anchor moveWithCells="1">
              <from>
                <xdr:col>1</xdr:col>
                <xdr:colOff>28575</xdr:colOff>
                <xdr:row>31</xdr:row>
                <xdr:rowOff>19050</xdr:rowOff>
              </from>
              <to>
                <xdr:col>1</xdr:col>
                <xdr:colOff>5429250</xdr:colOff>
                <xdr:row>32</xdr:row>
                <xdr:rowOff>0</xdr:rowOff>
              </to>
            </anchor>
          </controlPr>
        </control>
      </mc:Choice>
      <mc:Fallback>
        <control shapeId="12292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763D91D-B36C-4AF2-86F5-41722AB17478}">
          <x14:formula1>
            <xm:f>POPISI!$D$16</xm:f>
          </x14:formula1>
          <xm:sqref>B30</xm:sqref>
        </x14:dataValidation>
        <x14:dataValidation type="list" allowBlank="1" showInputMessage="1" showErrorMessage="1" xr:uid="{EABB6DDD-B1E3-41D4-8715-54F72CBB3EBD}">
          <x14:formula1>
            <xm:f>POPISI!$D$2</xm:f>
          </x14:formula1>
          <xm:sqref>B11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POPISI</vt:lpstr>
      <vt:lpstr>UR_ID_POPIS</vt:lpstr>
      <vt:lpstr>Vendor1</vt:lpstr>
      <vt:lpstr>Vendor2</vt:lpstr>
      <vt:lpstr>Vendor3</vt:lpstr>
      <vt:lpstr>Vendor4</vt:lpstr>
      <vt:lpstr>MPLS</vt:lpstr>
      <vt:lpstr>WWMS</vt:lpstr>
      <vt:lpstr>MP_REPORT</vt:lpstr>
      <vt:lpstr>AT</vt:lpstr>
      <vt:lpstr>RADNA</vt:lpstr>
      <vt:lpstr>MPLS!Criteria</vt:lpstr>
      <vt:lpstr>FO_TR_izradio</vt:lpstr>
      <vt:lpstr>korisnik_vendor</vt:lpstr>
      <vt:lpstr>mpls</vt:lpstr>
      <vt:lpstr>SFP_10GE</vt:lpstr>
      <vt:lpstr>TR_BP_ATN</vt:lpstr>
      <vt:lpstr>usluga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mlabrkic</dc:creator>
  <cp:lastPrinted>2023-05-16T08:44:14Z</cp:lastPrinted>
  <dcterms:created xsi:type="dcterms:W3CDTF">2023-05-09T07:52:41Z</dcterms:created>
  <dcterms:modified xsi:type="dcterms:W3CDTF">2023-06-21T12:20:48Z</dcterms:modified>
</cp:coreProperties>
</file>